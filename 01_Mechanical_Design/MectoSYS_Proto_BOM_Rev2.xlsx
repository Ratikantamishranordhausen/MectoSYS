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1_Mectosys_Prototype/02_BOM/"/>
    </mc:Choice>
  </mc:AlternateContent>
  <xr:revisionPtr revIDLastSave="2" documentId="13_ncr:1_{80C9FB38-7C30-4DDC-B4A5-F4631E11E725}" xr6:coauthVersionLast="47" xr6:coauthVersionMax="47" xr10:uidLastSave="{C20D625A-A284-46CD-9C3F-B9CA09083490}"/>
  <bookViews>
    <workbookView xWindow="-120" yWindow="-120" windowWidth="29040" windowHeight="15720" tabRatio="500" xr2:uid="{00000000-000D-0000-FFFF-FFFF00000000}"/>
  </bookViews>
  <sheets>
    <sheet name="Summe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5" i="3" l="1"/>
  <c r="L94" i="3"/>
  <c r="L93" i="3"/>
  <c r="K93" i="3"/>
  <c r="K120" i="3"/>
  <c r="L120" i="3"/>
  <c r="K121" i="3"/>
  <c r="L121" i="3"/>
  <c r="K123" i="3"/>
  <c r="L123" i="3"/>
  <c r="K117" i="3"/>
  <c r="L117" i="3"/>
  <c r="K118" i="3"/>
  <c r="L118" i="3"/>
  <c r="K114" i="3"/>
  <c r="L114" i="3"/>
  <c r="K111" i="3"/>
  <c r="L111" i="3"/>
  <c r="K109" i="3"/>
  <c r="L109" i="3"/>
  <c r="L107" i="3"/>
  <c r="K105" i="3"/>
  <c r="L105" i="3"/>
  <c r="K103" i="3"/>
  <c r="L103" i="3"/>
  <c r="K112" i="3"/>
  <c r="L112" i="3"/>
  <c r="K100" i="3"/>
  <c r="L100" i="3"/>
  <c r="K101" i="3"/>
  <c r="L101" i="3"/>
  <c r="K98" i="3"/>
  <c r="L98" i="3"/>
  <c r="K97" i="3"/>
  <c r="L97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84" i="3"/>
  <c r="L84" i="3"/>
  <c r="K81" i="3"/>
  <c r="L81" i="3"/>
  <c r="K82" i="3"/>
  <c r="L82" i="3"/>
  <c r="K80" i="3"/>
  <c r="L80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72" i="3"/>
  <c r="L72" i="3"/>
  <c r="K51" i="3"/>
  <c r="K52" i="3"/>
  <c r="K53" i="3"/>
  <c r="K54" i="3"/>
  <c r="K55" i="3"/>
  <c r="K56" i="3"/>
  <c r="K57" i="3"/>
  <c r="K58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61" i="3"/>
  <c r="L61" i="3"/>
  <c r="K62" i="3"/>
  <c r="L62" i="3"/>
  <c r="K59" i="3"/>
  <c r="L59" i="3"/>
  <c r="K60" i="3"/>
  <c r="L60" i="3"/>
  <c r="K50" i="3"/>
  <c r="L50" i="3"/>
  <c r="L51" i="3"/>
  <c r="K48" i="3"/>
  <c r="L48" i="3"/>
  <c r="L52" i="3"/>
  <c r="L53" i="3"/>
  <c r="L54" i="3"/>
  <c r="L55" i="3"/>
  <c r="L56" i="3"/>
  <c r="L57" i="3"/>
  <c r="L58" i="3"/>
  <c r="L47" i="3"/>
  <c r="L46" i="3"/>
  <c r="L45" i="3"/>
  <c r="L44" i="3"/>
  <c r="L43" i="3"/>
  <c r="L42" i="3"/>
  <c r="L41" i="3"/>
  <c r="L40" i="3"/>
  <c r="L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K2" i="3"/>
  <c r="L2" i="3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</calcChain>
</file>

<file path=xl/sharedStrings.xml><?xml version="1.0" encoding="utf-8"?>
<sst xmlns="http://schemas.openxmlformats.org/spreadsheetml/2006/main" count="616" uniqueCount="466">
  <si>
    <t>Sr No</t>
  </si>
  <si>
    <t>Component Name</t>
  </si>
  <si>
    <t>Component Details</t>
  </si>
  <si>
    <t>Part No</t>
  </si>
  <si>
    <t>Link</t>
  </si>
  <si>
    <t>Lead Time (Days)</t>
  </si>
  <si>
    <t>Price</t>
  </si>
  <si>
    <t>Tax</t>
  </si>
  <si>
    <t>Qty (Nos)</t>
  </si>
  <si>
    <t>Total Price</t>
  </si>
  <si>
    <t>Website</t>
  </si>
  <si>
    <t>Specification</t>
  </si>
  <si>
    <t>6 Series / slot width 8 / 300x30mm, Parallel Surfacing</t>
  </si>
  <si>
    <t xml:space="preserve">Surface plate </t>
  </si>
  <si>
    <t>EFSP6-30030-900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</si>
  <si>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</si>
  <si>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</si>
  <si>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</si>
  <si>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</si>
  <si>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</si>
  <si>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</si>
  <si>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</si>
  <si>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</si>
  <si>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</si>
  <si>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</si>
  <si>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</si>
  <si>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</si>
  <si>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</si>
  <si>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</si>
  <si>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</si>
  <si>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</si>
  <si>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</si>
  <si>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</si>
  <si>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</si>
  <si>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</si>
  <si>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</si>
  <si>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</si>
  <si>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charset val="1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charset val="1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</si>
  <si>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</si>
  <si>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</si>
  <si>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</si>
  <si>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</si>
  <si>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</si>
  <si>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</si>
  <si>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</si>
  <si>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</si>
  <si>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</si>
  <si>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</si>
  <si>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</si>
  <si>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</si>
  <si>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</si>
  <si>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</si>
  <si>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</si>
  <si>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</si>
  <si>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</si>
  <si>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</si>
  <si>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</si>
  <si>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</si>
  <si>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</si>
  <si>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</si>
  <si>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</si>
  <si>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</si>
  <si>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</si>
  <si>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</si>
  <si>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</si>
  <si>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</si>
  <si>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</si>
  <si>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</si>
  <si>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</si>
  <si>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</si>
  <si>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</si>
  <si>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</si>
  <si>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</si>
  <si>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</si>
  <si>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</si>
  <si>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charset val="1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charset val="1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</si>
  <si>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</si>
  <si>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</si>
  <si>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</si>
  <si>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Stainless Steel Mini Conveyor, DC 12 V</t>
  </si>
  <si>
    <t>Conveyor</t>
  </si>
  <si>
    <t>Amazon</t>
  </si>
  <si>
    <t>Motor Forward Reverse Controller</t>
  </si>
  <si>
    <t>Controller</t>
  </si>
  <si>
    <t>TKS-M8</t>
  </si>
  <si>
    <t>Sick WTB4-3P2161 1028099 Photoelectric Sensor</t>
  </si>
  <si>
    <t>Sensor</t>
  </si>
  <si>
    <t>WTB4-3P2161 1028099</t>
  </si>
  <si>
    <t>Connectors and cables: Sensor-actuator cables</t>
  </si>
  <si>
    <t>Cable</t>
  </si>
  <si>
    <t>YG8U13-010VA1XLEAX</t>
  </si>
  <si>
    <t>Sick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</si>
  <si>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</si>
  <si>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</si>
  <si>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</si>
  <si>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</si>
  <si>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</si>
  <si>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</si>
  <si>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</si>
  <si>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</si>
  <si>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Passive module, VARIOFACE-transfer module</t>
  </si>
  <si>
    <t>Terminal Block</t>
  </si>
  <si>
    <t>Total number of pins (Pole) = 14</t>
  </si>
  <si>
    <t>Cable FLK 14, Round cable set</t>
  </si>
  <si>
    <t>Cable for Terminal Block</t>
  </si>
  <si>
    <t>Part No = 2288927</t>
  </si>
  <si>
    <t>Electric Solenoid</t>
  </si>
  <si>
    <t>Pending</t>
  </si>
  <si>
    <t>Round cylinder, DSNU Series</t>
  </si>
  <si>
    <t>Cylinder</t>
  </si>
  <si>
    <t>DSNU-8-100-P-A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</si>
  <si>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</si>
  <si>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</si>
  <si>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</si>
  <si>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</si>
  <si>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</si>
  <si>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</si>
  <si>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</si>
  <si>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</si>
  <si>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</si>
  <si>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</si>
  <si>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</si>
  <si>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</si>
  <si>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</si>
  <si>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</si>
  <si>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</si>
  <si>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</si>
  <si>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</si>
  <si>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</si>
  <si>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</si>
  <si>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</si>
  <si>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</si>
  <si>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</si>
  <si>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</si>
  <si>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</si>
  <si>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</si>
  <si>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</si>
  <si>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</si>
  <si>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</si>
  <si>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</si>
  <si>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</si>
  <si>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</si>
  <si>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</si>
  <si>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charset val="1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charset val="1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</si>
  <si>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</si>
  <si>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</si>
  <si>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</si>
  <si>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</si>
  <si>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</si>
  <si>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 xml:space="preserve">Pressure sensor, SDE5 Series </t>
  </si>
  <si>
    <t>Pressure switch</t>
  </si>
  <si>
    <t>SDE5-V1-O-Q6-P-M8</t>
  </si>
  <si>
    <t>Pneumatic connection = QS-6</t>
  </si>
  <si>
    <t>Switching element function = N/O Contact</t>
  </si>
  <si>
    <t>Max. output current (mA) = 100</t>
  </si>
  <si>
    <t>Pressure measuring range end value (bar) = -1</t>
  </si>
  <si>
    <t xml:space="preserve">Compact air cylinder, DPDM Series </t>
  </si>
  <si>
    <t>DPDM-Q-16-50-PA</t>
  </si>
  <si>
    <t>SMT-10M-PS-24V-E-2.5-L-OE (551373) Proximity switch</t>
  </si>
  <si>
    <t xml:space="preserve">Read Switch </t>
  </si>
  <si>
    <t>SMT-10M-PS-24V-E-2.5-L-OE</t>
  </si>
  <si>
    <t xml:space="preserve">Air solenoid valve, VUVG Series </t>
  </si>
  <si>
    <t>Valve</t>
  </si>
  <si>
    <t>VUVG-L10-M52-MT-M5-1H2L-W1</t>
  </si>
  <si>
    <t>VRPA-CM-Q4-E (8086003) pressure regulator</t>
  </si>
  <si>
    <t>Pressure regulator</t>
  </si>
  <si>
    <t>VRPA-CM-Q4-E</t>
  </si>
  <si>
    <t>VN-05-M-I3-PQ2-VQ2-A (532624) vacuum suction nozzle</t>
  </si>
  <si>
    <t>Vacuum generator</t>
  </si>
  <si>
    <t>VN-05-M-I3-PQ2-VQ2-A</t>
  </si>
  <si>
    <t>ESH-HA-4-QS (189199) Vacuum suction cup holder</t>
  </si>
  <si>
    <t>Cup holder</t>
  </si>
  <si>
    <t>ESH-HA-4-QS</t>
  </si>
  <si>
    <t>ESF-4A (191203) Vacuum Filter</t>
  </si>
  <si>
    <t>Filter</t>
  </si>
  <si>
    <t>ESF-4A</t>
  </si>
  <si>
    <t>ESS-20-CS (189401) Vacuum Suction Cup</t>
  </si>
  <si>
    <t>Cup</t>
  </si>
  <si>
    <t>ESS-20-CS</t>
  </si>
  <si>
    <t>QSM-6H-4 (153329) connector</t>
  </si>
  <si>
    <t>Vacuum generator 6 to 4</t>
  </si>
  <si>
    <t>QSM-6H-4</t>
  </si>
  <si>
    <t>QSH-6 (153252) Plug-in sleeve</t>
  </si>
  <si>
    <t>Vaccuum generator to cup</t>
  </si>
  <si>
    <t>QSH-6</t>
  </si>
  <si>
    <t>Tube Blue</t>
  </si>
  <si>
    <t>PUN-H-4X0.75-BL</t>
  </si>
  <si>
    <t>Tube Black</t>
  </si>
  <si>
    <t>PUN-H-4X0.75-SW</t>
  </si>
  <si>
    <t>Air solenoid valve, VUVG Series</t>
  </si>
  <si>
    <t>bistable valve</t>
  </si>
  <si>
    <t>VUVG-L10-B52-T-M5-1H2L-W1</t>
  </si>
  <si>
    <t>Multiple distributor, QSQ Series</t>
  </si>
  <si>
    <t>Distributer 4 mm</t>
  </si>
  <si>
    <t>QSQ-6-4</t>
  </si>
  <si>
    <t>Festo EMMS-ST-57-M-SE-G2 1370479</t>
  </si>
  <si>
    <t>Motor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</si>
  <si>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</si>
  <si>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</si>
  <si>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</si>
  <si>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</si>
  <si>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</si>
  <si>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</si>
  <si>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</si>
  <si>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</si>
  <si>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</si>
  <si>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</si>
  <si>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</si>
  <si>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</si>
  <si>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Festo DGSL-12-50-Y3A 543979 Mini Schlitten</t>
  </si>
  <si>
    <t>DGSL-12-50-Y3A</t>
  </si>
  <si>
    <t xml:space="preserve">Limit switch </t>
  </si>
  <si>
    <t>540-DC1C-A1RB</t>
  </si>
  <si>
    <t>Mouser</t>
  </si>
  <si>
    <t>Festo SME-8-S-LED-24 150857 Proximity Sensor New sealed</t>
  </si>
  <si>
    <t>SME-8-S-LED-24 150857</t>
  </si>
  <si>
    <t>NEBA-M8G3-U-2.5-N-LE3 (8078223) Connecting cable</t>
  </si>
  <si>
    <t>Connecting cable</t>
  </si>
  <si>
    <t>NEBA-M8G3-U-2.5-N-LE3 (8078223)</t>
  </si>
  <si>
    <t>Extrusion</t>
  </si>
  <si>
    <t>ADVC-6-10-APA (188065) ​​short stroke cylinder</t>
  </si>
  <si>
    <t>Short stroke cylinder</t>
  </si>
  <si>
    <t>ADVC-6-10-APA (188065)</t>
  </si>
  <si>
    <t>QSML-M3-4 (153332) L-shaped push-in fitting</t>
  </si>
  <si>
    <t>M3 fitting</t>
  </si>
  <si>
    <t>QSML-M3-4 (153332)</t>
  </si>
  <si>
    <t>Igus e-chain Black, 30mm x 10.5 mm Igumid G, Length 1 m 38 mm</t>
  </si>
  <si>
    <t>Drag chain</t>
  </si>
  <si>
    <t>RS</t>
  </si>
  <si>
    <t>cable tie holder</t>
  </si>
  <si>
    <t>cable tie</t>
  </si>
  <si>
    <t>Signal light, red/yellow/green, LED, 24 V AC/DC</t>
  </si>
  <si>
    <t>Tower lamp</t>
  </si>
  <si>
    <t>HBJD-D3RYG24B</t>
  </si>
  <si>
    <t>Silent Compressor SAC55753</t>
  </si>
  <si>
    <t>Compressor</t>
  </si>
  <si>
    <t>SAC55753</t>
  </si>
  <si>
    <t>Hyundai</t>
  </si>
  <si>
    <t>WAGO 2587-2147 Switching Power Supply, 1-Phase, 24 VDC, 20 A, DC-OK LED</t>
  </si>
  <si>
    <t>SMPS</t>
  </si>
  <si>
    <t>2587-2147</t>
  </si>
  <si>
    <t>16A MCB 2P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</si>
  <si>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</si>
  <si>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</si>
  <si>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</si>
  <si>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</si>
  <si>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</si>
  <si>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</si>
  <si>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</si>
  <si>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</si>
  <si>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</si>
  <si>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</si>
  <si>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</si>
  <si>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</si>
  <si>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</si>
  <si>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</si>
  <si>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</si>
  <si>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</si>
  <si>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</si>
  <si>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</si>
  <si>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</si>
  <si>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</si>
  <si>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</si>
  <si>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</si>
  <si>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</si>
  <si>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</si>
  <si>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</si>
  <si>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</si>
  <si>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</si>
  <si>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</si>
  <si>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</si>
  <si>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</si>
  <si>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</si>
  <si>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</si>
  <si>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</si>
  <si>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</si>
  <si>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</si>
  <si>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</si>
  <si>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</si>
  <si>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</si>
  <si>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</si>
  <si>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</si>
  <si>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</si>
  <si>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</si>
  <si>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Raspberry Pi 5 Starter Kit, 64GB microSDHC including Pi OS, case, power supply</t>
  </si>
  <si>
    <t>Raspberry pi 5 4 GB</t>
  </si>
  <si>
    <t xml:space="preserve">Link </t>
  </si>
  <si>
    <t>Siemens 6GK5208-0GA00-2AC2 Scalance 6GK5 208-0GA00-2AC2 XC200G Ethernet Switch</t>
  </si>
  <si>
    <t>Ethernet Switch</t>
  </si>
  <si>
    <t>6GK5208-0GA00-2AC2</t>
  </si>
  <si>
    <t>Siemens 6ES7212-1AE40-0XB0 Simatic S7-1200 6ES7 212-1AE40-0XB0 CPU 1212C DC/DC/DC</t>
  </si>
  <si>
    <t>PLC</t>
  </si>
  <si>
    <t>6ES7212-1AE40-0XB0</t>
  </si>
  <si>
    <t>Digital ocean droplet 4 GiB , 2 V CPUs</t>
  </si>
  <si>
    <t>PostgreSQL data base</t>
  </si>
  <si>
    <t>Mail server</t>
  </si>
  <si>
    <t>Copilot Pro+</t>
  </si>
  <si>
    <t>Anfrage Rechnung</t>
  </si>
  <si>
    <t>???</t>
  </si>
  <si>
    <t xml:space="preserve">China </t>
  </si>
  <si>
    <t>Anfrage Rechnung, ggf. Vorkasse</t>
  </si>
  <si>
    <t>BerryBase</t>
  </si>
  <si>
    <t>DigitalOcean</t>
  </si>
  <si>
    <t>https://github.com</t>
  </si>
  <si>
    <t>151-24850 KR8G5-PA66HS-BK</t>
  </si>
  <si>
    <t>151-24850</t>
  </si>
  <si>
    <t>Farnell</t>
  </si>
  <si>
    <t>Modified</t>
  </si>
  <si>
    <t>Cable Tie, Nylon 6.6 HS (Polyamide 6.6 HS) (Heat Stabilised), Black, 200 mm, 3.4 mm, 50 mm, 30 lb</t>
  </si>
  <si>
    <t>118-04900</t>
  </si>
  <si>
    <t>DHRS-25-A</t>
  </si>
  <si>
    <t>Festo DHRS-25-A 1310162 Radial Gripper</t>
  </si>
  <si>
    <t>Conveyor Sensor Brackets / Post-Assembly Insertion Nuts For Sensors</t>
  </si>
  <si>
    <t>BFCBN40-6</t>
  </si>
  <si>
    <t>EMMS-ST-57-M-SE-G2 1370479</t>
  </si>
  <si>
    <t>HFS8-8080-1000</t>
  </si>
  <si>
    <t xml:space="preserve">8 Series / slot width 10 / 80x80mm </t>
  </si>
  <si>
    <t>MUE-70/80 (558043) Profile mounting</t>
  </si>
  <si>
    <t>MUE-70/80 (558043)</t>
  </si>
  <si>
    <t>Profile Mounting</t>
  </si>
  <si>
    <t xml:space="preserve">8 Series / Frame End Caps </t>
  </si>
  <si>
    <t>HFC8-8080-B</t>
  </si>
  <si>
    <t>5 Series / Post-Assembly Insertion Spring Nuts</t>
  </si>
  <si>
    <t>HNTP5-4</t>
  </si>
  <si>
    <t>Post assembly nut</t>
  </si>
  <si>
    <t xml:space="preserve">8 Series / Post-Assembly Insertion Nuts </t>
  </si>
  <si>
    <t>HNTF8-6</t>
  </si>
  <si>
    <t>CBM6-14</t>
  </si>
  <si>
    <t>M6-14</t>
  </si>
  <si>
    <t>M6 8 series</t>
  </si>
  <si>
    <t>HNTF8-4</t>
  </si>
  <si>
    <t>M4 8 series</t>
  </si>
  <si>
    <t>Hex Socket Head Bolt</t>
  </si>
  <si>
    <t>M4-8</t>
  </si>
  <si>
    <t>CSS-04-08</t>
  </si>
  <si>
    <t>Hexagon Socket Head Cap Screws Flat / Steel, Stainless Steel</t>
  </si>
  <si>
    <t>HFBCM3-10</t>
  </si>
  <si>
    <t>M3-10</t>
  </si>
  <si>
    <t>M3</t>
  </si>
  <si>
    <t>HNTP5-3</t>
  </si>
  <si>
    <t>8 Series / Post-Assembly Insertion Short Nuts【1 to 100 pieces】</t>
  </si>
  <si>
    <t>HNTAJ8-3</t>
  </si>
  <si>
    <t>8 Series / Post-Assembly Insertion Spring Nuts</t>
  </si>
  <si>
    <t>M5</t>
  </si>
  <si>
    <t>HNTP8-5</t>
  </si>
  <si>
    <t>CBM3-35</t>
  </si>
  <si>
    <t>M3x35</t>
  </si>
  <si>
    <t>CBM4-22</t>
  </si>
  <si>
    <t>M4x22</t>
  </si>
  <si>
    <t xml:space="preserve">Hexagon Socket Head Cap Screws </t>
  </si>
  <si>
    <t>CBM5-18</t>
  </si>
  <si>
    <t>M5x18</t>
  </si>
  <si>
    <t>CBM6-30</t>
  </si>
  <si>
    <t>M6x30</t>
  </si>
  <si>
    <t xml:space="preserve">5 Series / Angular 45 / 135 degree Angle / 2 Slots </t>
  </si>
  <si>
    <t>HBL45TD5</t>
  </si>
  <si>
    <t>Angle bracket</t>
  </si>
  <si>
    <t>MD-1.5L-R</t>
  </si>
  <si>
    <t xml:space="preserve">Wiring Duct (with Upper Slit / Low Cost) </t>
  </si>
  <si>
    <t>Misumi 01</t>
  </si>
  <si>
    <t>Misumi 02</t>
  </si>
  <si>
    <t>Misumi 03</t>
  </si>
  <si>
    <t>Misumi 04</t>
  </si>
  <si>
    <t>Misumi 05</t>
  </si>
  <si>
    <t>Misumi 06</t>
  </si>
  <si>
    <t>Misumi 07</t>
  </si>
  <si>
    <t>Misumi 08</t>
  </si>
  <si>
    <t>Misumi 09</t>
  </si>
  <si>
    <t>Misumi 10</t>
  </si>
  <si>
    <t>Misumi 11</t>
  </si>
  <si>
    <t>Misumi 12</t>
  </si>
  <si>
    <t>Misumi 13</t>
  </si>
  <si>
    <t>Misumi 14</t>
  </si>
  <si>
    <t>Misumi 15</t>
  </si>
  <si>
    <t>Misumi 16</t>
  </si>
  <si>
    <t>Misumi 17</t>
  </si>
  <si>
    <t>Misumi 18</t>
  </si>
  <si>
    <t>Misumi 19</t>
  </si>
  <si>
    <t>Misumi 20</t>
  </si>
  <si>
    <t>Misumi 21</t>
  </si>
  <si>
    <t>Misumi 22</t>
  </si>
  <si>
    <t>Misumi 23</t>
  </si>
  <si>
    <t>Misumi 24</t>
  </si>
  <si>
    <t>Misumi 25</t>
  </si>
  <si>
    <t>Misumi 26</t>
  </si>
  <si>
    <t>Misumi 27</t>
  </si>
  <si>
    <t>Misumi 28</t>
  </si>
  <si>
    <t>Misumi 29</t>
  </si>
  <si>
    <t>Misumi 30</t>
  </si>
  <si>
    <t>Misumi 31</t>
  </si>
  <si>
    <t>Misumi 32</t>
  </si>
  <si>
    <t>Misumi 33</t>
  </si>
  <si>
    <t>Misumi 34</t>
  </si>
  <si>
    <t>Misumi 35</t>
  </si>
  <si>
    <t>Misumi 36</t>
  </si>
  <si>
    <t>Misumi 37</t>
  </si>
  <si>
    <t>Misumi 38</t>
  </si>
  <si>
    <t>Misumi 39</t>
  </si>
  <si>
    <t>Misumi 40</t>
  </si>
  <si>
    <t>Misumi 41</t>
  </si>
  <si>
    <t>Misumi 42</t>
  </si>
  <si>
    <t>Misumi 43</t>
  </si>
  <si>
    <t>Misumi 44</t>
  </si>
  <si>
    <t>Misumi 45</t>
  </si>
  <si>
    <t>Misumi 46</t>
  </si>
  <si>
    <t>Misumi 47</t>
  </si>
  <si>
    <t>Landefeld 1</t>
  </si>
  <si>
    <t>Landefeld 2</t>
  </si>
  <si>
    <t>Landefeld 3</t>
  </si>
  <si>
    <t>Landefeld 4</t>
  </si>
  <si>
    <t>Landefeld 5</t>
  </si>
  <si>
    <t>Landefeld 6</t>
  </si>
  <si>
    <t>Landefeld 7</t>
  </si>
  <si>
    <t>Landefeld 8</t>
  </si>
  <si>
    <t>Landefeld 9</t>
  </si>
  <si>
    <t>Landefeld 10</t>
  </si>
  <si>
    <t>Landefeld 11</t>
  </si>
  <si>
    <t>Landefeld 12</t>
  </si>
  <si>
    <t>Landefeld 13</t>
  </si>
  <si>
    <t>Landefeld 14</t>
  </si>
  <si>
    <t>Landefeld 15</t>
  </si>
  <si>
    <t>Landefeld 16</t>
  </si>
  <si>
    <t>Landefeld 17</t>
  </si>
  <si>
    <t>Landefeld 18</t>
  </si>
  <si>
    <t>Landefeld 19</t>
  </si>
  <si>
    <t>Landefeld 20</t>
  </si>
  <si>
    <t>Landefeld 21</t>
  </si>
  <si>
    <t>IndustryMall 1</t>
  </si>
  <si>
    <t>IndustryMall 2</t>
  </si>
  <si>
    <t>IndustryMall 3</t>
  </si>
  <si>
    <t>IndustryMall 4</t>
  </si>
  <si>
    <t>IndustryMall 5</t>
  </si>
  <si>
    <t>IndustryMall 6</t>
  </si>
  <si>
    <t>IndustryMall 7</t>
  </si>
  <si>
    <t>IndustryMall 8</t>
  </si>
  <si>
    <t>IndustryMall 9</t>
  </si>
  <si>
    <t>IndustryMall 10</t>
  </si>
  <si>
    <t>IndustryMall 11</t>
  </si>
  <si>
    <t>reichelt 1</t>
  </si>
  <si>
    <t>reichelt 2</t>
  </si>
  <si>
    <t>reichelt 3</t>
  </si>
  <si>
    <t>reichelt 4</t>
  </si>
  <si>
    <t>reichelt 5</t>
  </si>
  <si>
    <t>reichelt 6</t>
  </si>
  <si>
    <t>reichelt 7</t>
  </si>
  <si>
    <t>reichelt 8</t>
  </si>
  <si>
    <t>reichelt 9</t>
  </si>
  <si>
    <t>Schneider Electric circuit breaker - A9N61508</t>
  </si>
  <si>
    <t>10A 1P</t>
  </si>
  <si>
    <t>A9N61508</t>
  </si>
  <si>
    <t>Schneider Electric circuit breaker - A9F78216</t>
  </si>
  <si>
    <t>A9F78216</t>
  </si>
  <si>
    <t>Tameson</t>
  </si>
  <si>
    <t>720-2777</t>
  </si>
  <si>
    <t>Patch cable RJ45 Cat.6A S/FTP 1 m green</t>
  </si>
  <si>
    <t>Ethernet Cable</t>
  </si>
  <si>
    <t>BTR 1308451055-E</t>
  </si>
  <si>
    <t>reichelt 10</t>
  </si>
  <si>
    <t>Pending Item</t>
  </si>
  <si>
    <t>Filament, PLA, M0751 black, 750 g</t>
  </si>
  <si>
    <t>Filament,</t>
  </si>
  <si>
    <t>ULTIMAKER 74555</t>
  </si>
  <si>
    <t>reichelt 11</t>
  </si>
  <si>
    <t>Filament, Tough, PLA, M0777, white, 750 g</t>
  </si>
  <si>
    <t>ULTIMAKER 77662</t>
  </si>
  <si>
    <t>reichelt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</si>
</sst>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 applyProtection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2" fontId="0" fillId="0" borderId="1" xfId="0" applyNumberFormat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2" fillId="0" borderId="1" xfId="1" applyBorder="1" applyAlignment="1" applyProtection="1">
      <alignment horizontal="left" vertical="center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0" xfId="0" applyFill="1"/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1" applyBorder="1" applyProtecti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21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42" Type="http://schemas.openxmlformats.org/officeDocument/2006/relationships/hyperlink" Target="https://uk.misumi-ec.com/vona2/detail/110302261370/?PNSearch=CBM4-22&amp;HissuCode=CBM4-22&amp;Keyword=CBM4-22&amp;list=SuggestPreview&amp;searchFlow=suggest2products" TargetMode="External"/><Relationship Id="rId47" Type="http://schemas.openxmlformats.org/officeDocument/2006/relationships/hyperlink" Target="https://www.landefeld.de/artikel/de/dpdm-q-16-50-pa-4834267-kompaktzylinder/OT-FESTO072442" TargetMode="External"/><Relationship Id="rId63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68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84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89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16" Type="http://schemas.openxmlformats.org/officeDocument/2006/relationships/hyperlink" Target="https://uk.misumi-ec.com/vona2/detail/222302170357/?PNSearch=2288927&amp;HissuCode=2288927&amp;Keyword=2288927&amp;list=SuggestPreview&amp;searchFlow=suggest2products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uk.misumi-ec.com/vona2/detail/110302261370/?PNSearch=CBM6-14&amp;HissuCode=CBM6-14&amp;Keyword=CBM6-14&amp;list=SuggestPreview&amp;searchFlow=suggest2products" TargetMode="External"/><Relationship Id="rId37" Type="http://schemas.openxmlformats.org/officeDocument/2006/relationships/hyperlink" Target="https://uk.misumi-ec.com/vona2/detail/110302536310/?PNSearch=BFCBN40-6&amp;HissuCode=BFCBN40-6&amp;Keyword=BFCBN40-6&amp;list=SuggestPreview&amp;searchFlow=suggest2productshist" TargetMode="External"/><Relationship Id="rId53" Type="http://schemas.openxmlformats.org/officeDocument/2006/relationships/hyperlink" Target="https://www.landefeld.de/artikel/de/esf-4a-191203-vakuumfilter/OT-FESTO007854" TargetMode="External"/><Relationship Id="rId58" Type="http://schemas.openxmlformats.org/officeDocument/2006/relationships/hyperlink" Target="https://www.landefeld.de/artikel/de/mue-7080-558043-profilbefestigung/OT-FESTO028207" TargetMode="External"/><Relationship Id="rId74" Type="http://schemas.openxmlformats.org/officeDocument/2006/relationships/hyperlink" Target="https://industrymall.de/en/hydraulics/27019-festo-egc-80-700-tb-kf-0h-gk-556814-toothed-belt-axis.html" TargetMode="External"/><Relationship Id="rId79" Type="http://schemas.openxmlformats.org/officeDocument/2006/relationships/hyperlink" Target="https://industrymall.de/en/plc/28995-siemens-6es7212-1ae40-0xb0-simatic-s7-1200-6es7-212-1ae40-0xb0-cpu-1212c-dc-dc-dc.html" TargetMode="External"/><Relationship Id="rId102" Type="http://schemas.openxmlformats.org/officeDocument/2006/relationships/hyperlink" Target="https://www.digitalocean.com/pricing/managed-databases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90" Type="http://schemas.openxmlformats.org/officeDocument/2006/relationships/hyperlink" Target="https://www.amazon.de/-/en/WAGO-2587-2147-Switching-Supply-1-Phase/dp/B0FH4WRB1W/ref=ast_sto_dp_puis" TargetMode="External"/><Relationship Id="rId95" Type="http://schemas.openxmlformats.org/officeDocument/2006/relationships/hyperlink" Target="https://www.mouser.de/ProductDetail/ZF/DC1C-A1RB?qs=Z7NFYKyvgJf36qdXxs3wkA%3D%3D" TargetMode="External"/><Relationship Id="rId22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27" Type="http://schemas.openxmlformats.org/officeDocument/2006/relationships/hyperlink" Target="https://uk.misumi-ec.com/vona2/detail/221302444518/?PNSearch=VUVG-L10-B52-T-M5-1H2L-W1&amp;HissuCode=VUVG-L10-B52-T-M5-1H2L-W1&amp;Keyword=VUVG-L10-B52-T-M5-1H2L-W1&amp;list=SuggestPreview&amp;searchFlow=suggest2products" TargetMode="External"/><Relationship Id="rId43" Type="http://schemas.openxmlformats.org/officeDocument/2006/relationships/hyperlink" Target="https://uk.misumi-ec.com/vona2/detail/110302261370/?PNSearch=CBM5-18&amp;HissuCode=CBM5-18&amp;Keyword=CBM5-18&amp;list=SuggestPreview&amp;searchFlow=suggest2products" TargetMode="External"/><Relationship Id="rId48" Type="http://schemas.openxmlformats.org/officeDocument/2006/relationships/hyperlink" Target="https://www.landefeld.de/artikel/de/smt-10m-ps-24v-e-25-l-oe-551373-naeherungsschalter/OT-FESTO032850?campaign=GO_SH_Festo_DE&amp;gad_source=1&amp;gad_campaignid=21820866894&amp;gbraid=0AAAAAD_cjCOMfvF5FeFQRpwq1PeMmaezL&amp;gclid=CjwKCAjwhe3OBhABEiwA6392zMVYxhHZjHOR-KjCC" TargetMode="External"/><Relationship Id="rId64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69" Type="http://schemas.openxmlformats.org/officeDocument/2006/relationships/hyperlink" Target="https://industrymall.de/en/sensors/28370-sick-wtb4-3p2161-1028099-photoelectric-sensor.html" TargetMode="External"/><Relationship Id="rId80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85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12" Type="http://schemas.openxmlformats.org/officeDocument/2006/relationships/hyperlink" Target="https://uk.misumi-ec.com/vona2/detail/110302261370/?PNSearch=CBM5-8&amp;HissuCode=CBM5-8&amp;Keyword=CBM5-8&amp;list=SuggestPreview&amp;searchFlow=suggest2productshist" TargetMode="External"/><Relationship Id="rId17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33" Type="http://schemas.openxmlformats.org/officeDocument/2006/relationships/hyperlink" Target="https://uk.misumi-ec.com/vona2/detail/110302615750/?PNSearch=HNTF8-6&amp;HissuCode=HNTF8-6&amp;Keyword=HNTF8-6&amp;list=SuggestPreview&amp;searchFlow=suggest2products" TargetMode="External"/><Relationship Id="rId38" Type="http://schemas.openxmlformats.org/officeDocument/2006/relationships/hyperlink" Target="https://uk.misumi-ec.com/vona2/detail/110302608410/?PNSearch=HNTP5-3&amp;HissuCode=HNTP5-3&amp;Keyword=HNTP5-3&amp;list=SuggestPreview&amp;searchFlow=suggest2products" TargetMode="External"/><Relationship Id="rId59" Type="http://schemas.openxmlformats.org/officeDocument/2006/relationships/hyperlink" Target="https://www.landefeld.de/artikel/de/neba-m8g3-u-2-5-n-le3-8078223-verbindungsleitung/OT-FESTO096751" TargetMode="External"/><Relationship Id="rId103" Type="http://schemas.openxmlformats.org/officeDocument/2006/relationships/hyperlink" Target="https://github.com/features/copilot/plans" TargetMode="External"/><Relationship Id="rId20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41" Type="http://schemas.openxmlformats.org/officeDocument/2006/relationships/hyperlink" Target="https://uk.misumi-ec.com/vona2/detail/110302261370/?PNSearch=CBM3-35&amp;HissuCode=CBM3-35&amp;Keyword=CBM3-35&amp;list=SuggestPreview&amp;searchFlow=suggest2products" TargetMode="External"/><Relationship Id="rId54" Type="http://schemas.openxmlformats.org/officeDocument/2006/relationships/hyperlink" Target="https://www.landefeld.de/artikel/de/ess-20-cs-189401-vakuumsauger/OT-FESTO007996" TargetMode="External"/><Relationship Id="rId62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Relationship Id="rId70" Type="http://schemas.openxmlformats.org/officeDocument/2006/relationships/hyperlink" Target="https://industrymall.de/en/servo-engines/26403-festo-emms-st-57-m-se-g2-1370479.html" TargetMode="External"/><Relationship Id="rId75" Type="http://schemas.openxmlformats.org/officeDocument/2006/relationships/hyperlink" Target="https://industrymall.de/en/hydraulics/29671-festo-dhrs-25-a-1310162-radial-gripper.html" TargetMode="External"/><Relationship Id="rId83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88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91" Type="http://schemas.openxmlformats.org/officeDocument/2006/relationships/hyperlink" Target="https://de.farnell.com/hellermanntyton/kr8g5-black/kabelbinder-befestigungss-7-6mm/dp/1169012?srsltid=AfmBOoprehW8Y4ulSu3RnWnEcQdxt45NIJq8X9uHOGb5ZCp93ZtuxvbU" TargetMode="External"/><Relationship Id="rId96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15" Type="http://schemas.openxmlformats.org/officeDocument/2006/relationships/hyperlink" Target="https://uk.misumi-ec.com/vona2/detail/222302207493/?PNSearch=2903801&amp;HissuCode=2903801&amp;Keyword=2903801&amp;list=SuggestPreview&amp;searchFlow=suggest2products" TargetMode="External"/><Relationship Id="rId23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28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36" Type="http://schemas.openxmlformats.org/officeDocument/2006/relationships/hyperlink" Target="https://uk.misumi-ec.com/vona2/detail/110300463610/?PNSearch=HFBCM3-10&amp;HissuCode=HFBCM3-10&amp;Keyword=HFBCM3-10&amp;list=SuggestPreview&amp;searchFlow=suggest2products" TargetMode="External"/><Relationship Id="rId49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57" Type="http://schemas.openxmlformats.org/officeDocument/2006/relationships/hyperlink" Target="https://www.landefeld.de/artikel/de/advc-6-10-a-p-a-188065-kurzhubzylinder/OT-FESTO003870" TargetMode="External"/><Relationship Id="rId106" Type="http://schemas.openxmlformats.org/officeDocument/2006/relationships/hyperlink" Target="https://www.reichelt.de/de/de/shop/produkt/filament_tough_pla_m0777_weiss_750_g-227293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110302608410/?PNSearch=HNTP5-4&amp;HissuCode=HNTP5-4&amp;Keyword=HNTP5-4&amp;list=SuggestPreview&amp;searchFlow=suggest2products" TargetMode="External"/><Relationship Id="rId44" Type="http://schemas.openxmlformats.org/officeDocument/2006/relationships/hyperlink" Target="https://uk.misumi-ec.com/vona2/detail/110302261370/?PNSearch=CBM6-30&amp;HissuCode=CBM6-30&amp;Keyword=CBM6-30&amp;list=SuggestPreview&amp;searchFlow=suggest2products" TargetMode="External"/><Relationship Id="rId52" Type="http://schemas.openxmlformats.org/officeDocument/2006/relationships/hyperlink" Target="https://www.landefeld.de/artikel/de/esh-ha-4-qs-189199-vakuumsauger-halter/OT-FESTO007889" TargetMode="External"/><Relationship Id="rId60" Type="http://schemas.openxmlformats.org/officeDocument/2006/relationships/hyperlink" Target="https://www.landefeld.de/artikel/de/qsml-m3-4-153332-l-steckverschraubung/OT-FESTO015396" TargetMode="External"/><Relationship Id="rId65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73" Type="http://schemas.openxmlformats.org/officeDocument/2006/relationships/hyperlink" Target="https://industrymall.de/en/plc/26931-festo-nebm-s1w9-e-7-q5-le6-1450739-motor-cable.html" TargetMode="External"/><Relationship Id="rId78" Type="http://schemas.openxmlformats.org/officeDocument/2006/relationships/hyperlink" Target="https://industrymall.de/en/plc/26574-siemens-6gk5208-0ga00-2ac2-scalance-6gk5-208-0ga00-2ac2-xc200g-ethernet-switch.html" TargetMode="External"/><Relationship Id="rId81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86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94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99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01" Type="http://schemas.openxmlformats.org/officeDocument/2006/relationships/hyperlink" Target="https://www.digitalocean.com/pricing/droplets" TargetMode="External"/><Relationship Id="rId4" Type="http://schemas.openxmlformats.org/officeDocument/2006/relationships/hyperlink" Target="https://uk.misumi-ec.com/vona2/detail/110302261370/?PNSearch=CBM6-12&amp;HissuCode=CBM6-12&amp;Keyword=CBM6-12&amp;list=SuggestPreview&amp;searchFlow=suggest2productshist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8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39" Type="http://schemas.openxmlformats.org/officeDocument/2006/relationships/hyperlink" Target="https://uk.misumi-ec.com/vona2/detail/110302616720/?PNSearch=HNTAJ8-3&amp;HissuCode=HNTAJ8-3&amp;Keyword=HNTAJ8-3&amp;list=SuggestPreview&amp;searchFlow=suggest2products" TargetMode="External"/><Relationship Id="rId34" Type="http://schemas.openxmlformats.org/officeDocument/2006/relationships/hyperlink" Target="https://uk.misumi-ec.com/vona2/detail/110302615750/?PNSearch=HNTF8-4&amp;HissuCode=HNTF8-4&amp;Keyword=HNTF8-4&amp;list=SuggestPreview&amp;searchFlow=suggest2products" TargetMode="External"/><Relationship Id="rId50" Type="http://schemas.openxmlformats.org/officeDocument/2006/relationships/hyperlink" Target="https://www.landefeld.de/artikel/de/vrpa-cm-q4-e-8086003-druckregler/OT-FESTO082872" TargetMode="External"/><Relationship Id="rId55" Type="http://schemas.openxmlformats.org/officeDocument/2006/relationships/hyperlink" Target="https://www.landefeld.de/artikel/de/qsm-6h-4-153329-steckverbindung/OT-FESTO015349" TargetMode="External"/><Relationship Id="rId76" Type="http://schemas.openxmlformats.org/officeDocument/2006/relationships/hyperlink" Target="https://industrymall.de/en/plc/26425-festo-dgsl-12-50-y3a-543979-mini-schlitten.html" TargetMode="External"/><Relationship Id="rId97" Type="http://schemas.openxmlformats.org/officeDocument/2006/relationships/hyperlink" Target="https://www.hyundaipower-de.com/hyundai-silent-kompressor-sac55753?srsltid=AfmBOoqcXoLkyQ1TDeEG_jNNk7SHazzcri9P3Lx-IC9JKgADlFd6-gDz" TargetMode="External"/><Relationship Id="rId104" Type="http://schemas.openxmlformats.org/officeDocument/2006/relationships/hyperlink" Target="https://www.reichelt.de/de/de/shop/produkt/patchkabel_rj45_cat_6a_s_ftp_1_m_gruen-196790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71" Type="http://schemas.openxmlformats.org/officeDocument/2006/relationships/hyperlink" Target="https://industrymall.de/en/plc/26331-festo-8084004-cmmt-st-c8-1c-pn-s0-servo.html" TargetMode="External"/><Relationship Id="rId92" Type="http://schemas.openxmlformats.org/officeDocument/2006/relationships/hyperlink" Target="https://de.farnell.com/en-DE/hellermanntyton/t30los-hb3p/cable-tie-black-200x3-4mm-pk100/dp/1296254?cjdata=MXxZfDB8WXww&amp;gross_price=true&amp;CMP=AFC-CJ-DE-8190214&amp;source=CJ&amp;cjevent=8b500c973e6f11f1810400060a18ba74&amp;loyaltysignal=0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uk.misumi-ec.com/vona2/detail/110302690740/?HissuCode=HFS8-8080-1000&amp;PNSearch=HFS8-8080-1000&amp;KWSearch=HFS8-8080-1000&amp;searchFlow=results2products&amp;list=PageSearchResult" TargetMode="External"/><Relationship Id="rId24" Type="http://schemas.openxmlformats.org/officeDocument/2006/relationships/hyperlink" Target="https://uk.misumi-ec.com/vona2/detail/221302433796/?PNSearch=SDE5-V1-O-Q6-P-M8&amp;HissuCode=SDE5-V1-O-Q6-P-M8&amp;Keyword=SDE5-V1-O-Q6-P-M8&amp;list=SuggestPreview&amp;searchFlow=suggest2productshist" TargetMode="External"/><Relationship Id="rId40" Type="http://schemas.openxmlformats.org/officeDocument/2006/relationships/hyperlink" Target="https://uk.misumi-ec.com/vona2/detail/110302616360/?PNSearch=HNTP8-5&amp;HissuCode=HNTP8-5&amp;Keyword=HNTP8-5&amp;list=SuggestPreview&amp;searchFlow=suggest2productshist" TargetMode="External"/><Relationship Id="rId45" Type="http://schemas.openxmlformats.org/officeDocument/2006/relationships/hyperlink" Target="https://uk.misumi-ec.com/vona2/detail/110300439270/?PNSearch=HBL45TD5&amp;HissuCode=HBL45TD5&amp;Keyword=HBL45TD5&amp;list=SuggestPreview&amp;searchFlow=suggest2productshist" TargetMode="External"/><Relationship Id="rId66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87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61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82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19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14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0" Type="http://schemas.openxmlformats.org/officeDocument/2006/relationships/hyperlink" Target="https://uk.misumi-ec.com/vona2/detail/110300452840/?PNSearch=HFC8-8080-B&amp;HissuCode=HFC8-8080-B&amp;Keyword=HFC8-8080-B&amp;list=SuggestPreview&amp;searchFlow=suggest2products" TargetMode="External"/><Relationship Id="rId35" Type="http://schemas.openxmlformats.org/officeDocument/2006/relationships/hyperlink" Target="https://uk.misumi-ec.com/vona2/detail/221005479774/?PNSearch=CSS-04-08&amp;HissuCode=CSS-04-08&amp;Keyword=CSS-04-08&amp;list=SuggestPreview&amp;searchFlow=suggest2products" TargetMode="External"/><Relationship Id="rId56" Type="http://schemas.openxmlformats.org/officeDocument/2006/relationships/hyperlink" Target="https://www.landefeld.de/artikel/de/qsh-6-153252-steckhuelse/OT-FESTO015004" TargetMode="External"/><Relationship Id="rId77" Type="http://schemas.openxmlformats.org/officeDocument/2006/relationships/hyperlink" Target="https://industrymall.de/en/sensors/29302-festo-sme-8-s-led-24-150857-proximity-sensor-neu-versiegelt.html" TargetMode="External"/><Relationship Id="rId100" Type="http://schemas.openxmlformats.org/officeDocument/2006/relationships/hyperlink" Target="https://www.amazon.de/dp/B0FMRKYWDN/ref=sspa_dk_detail_0?psc=1&amp;pd_rd_i=B0FMRKYWDN&amp;pd_rd_w=88kgb&amp;content-id=amzn1.sym.bf6dbf94-e926-4351-8952-c09f45cdef70&amp;pf_rd_p=bf6dbf94-e926-4351-8952-c09f45cdef70&amp;pf_rd_r=7M2R9N86TSWQYCPYT7S4&amp;pd_rd_wg=05mm0&amp;pd_rd_r=0361" TargetMode="External"/><Relationship Id="rId105" Type="http://schemas.openxmlformats.org/officeDocument/2006/relationships/hyperlink" Target="https://www.reichelt.de/de/de/shop/produkt/filament_pla_m0751_schwarz_750_g-188516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www.landefeld.de/artikel/de/vn-05-m-i3-pq2-vq2-a-532624-vakuumsaugduese/OT-FESTO027913" TargetMode="External"/><Relationship Id="rId72" Type="http://schemas.openxmlformats.org/officeDocument/2006/relationships/hyperlink" Target="https://industrymall.de/en/plc/29236-festo-nebm-m12w8-e-25-le8-1451675-encoder-cable-neu.html" TargetMode="External"/><Relationship Id="rId93" Type="http://schemas.openxmlformats.org/officeDocument/2006/relationships/hyperlink" Target="https://tameson.de/products/schneider-electric-leitungsschutzschalter-a9f78216-e33uh" TargetMode="External"/><Relationship Id="rId98" Type="http://schemas.openxmlformats.org/officeDocument/2006/relationships/hyperlink" Target="https://tameson.de/products/schneider-electric-leitungsschutzschalter-a9n61508-e33xd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25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46" Type="http://schemas.openxmlformats.org/officeDocument/2006/relationships/hyperlink" Target="https://uk.misumi-ec.com/vona2/detail/110400152740/?PNSearch=MD-1.5L-R&amp;HissuCode=MD-1.5L-R&amp;Keyword=MD-1.5L-R&amp;list=SuggestPreview&amp;searchFlow=suggest2products" TargetMode="External"/><Relationship Id="rId67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20F0-F627-42C6-8937-929ABD03F1D3}">
  <dimension ref="B1:T123"/>
  <sheetViews>
    <sheetView tabSelected="1" topLeftCell="A76" workbookViewId="0">
      <selection activeCell="O93" sqref="O92:O93"/>
    </sheetView>
  </sheetViews>
  <sheetFormatPr defaultRowHeight="15"/>
  <cols>
    <col min="1" max="1" width="2" customWidth="1"/>
    <col min="2" max="2" width="5.7109375" bestFit="1" customWidth="1"/>
    <col min="3" max="3" width="81.28515625" bestFit="1" customWidth="1"/>
    <col min="4" max="4" width="29.7109375" bestFit="1" customWidth="1"/>
    <col min="5" max="5" width="32.140625" bestFit="1" customWidth="1"/>
    <col min="6" max="6" width="5" bestFit="1" customWidth="1"/>
    <col min="7" max="7" width="16.140625" bestFit="1" customWidth="1"/>
    <col min="8" max="9" width="7" bestFit="1" customWidth="1"/>
    <col min="10" max="10" width="9.42578125" bestFit="1" customWidth="1"/>
    <col min="11" max="12" width="10.28515625" bestFit="1" customWidth="1"/>
    <col min="13" max="13" width="2.28515625" customWidth="1"/>
    <col min="14" max="14" width="19.42578125" bestFit="1" customWidth="1"/>
    <col min="15" max="15" width="30.5703125" bestFit="1" customWidth="1"/>
    <col min="16" max="16" width="41.7109375" bestFit="1" customWidth="1"/>
    <col min="17" max="17" width="47.85546875" bestFit="1" customWidth="1"/>
    <col min="18" max="18" width="47" bestFit="1" customWidth="1"/>
    <col min="19" max="19" width="28.85546875" bestFit="1" customWidth="1"/>
    <col min="20" max="20" width="42.42578125" bestFit="1" customWidth="1"/>
  </cols>
  <sheetData>
    <row r="1" spans="2:20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3"/>
      <c r="N1" s="14" t="s">
        <v>10</v>
      </c>
      <c r="O1" s="14"/>
      <c r="P1" s="23" t="s">
        <v>11</v>
      </c>
      <c r="Q1" s="23"/>
      <c r="R1" s="23"/>
      <c r="S1" s="23"/>
      <c r="T1" s="23"/>
    </row>
    <row r="2" spans="2:20">
      <c r="B2" s="4">
        <v>1</v>
      </c>
      <c r="C2" s="3" t="s">
        <v>12</v>
      </c>
      <c r="D2" s="3" t="s">
        <v>13</v>
      </c>
      <c r="E2" s="3" t="s">
        <v>14</v>
      </c>
      <c r="F2" s="5" t="s">
        <v>4</v>
      </c>
      <c r="G2" s="6">
        <v>11</v>
      </c>
      <c r="H2" s="3">
        <v>142.74</v>
      </c>
      <c r="I2" s="3">
        <v>169.86</v>
      </c>
      <c r="J2" s="3">
        <v>2</v>
      </c>
      <c r="K2" s="3">
        <f t="shared" ref="K2:K38" si="0">H2*J2</f>
        <v>285.48</v>
      </c>
      <c r="L2" s="3">
        <f t="shared" ref="L2:L48" si="1">I2*J2</f>
        <v>339.72</v>
      </c>
      <c r="M2" s="3"/>
      <c r="N2" s="11" t="s">
        <v>359</v>
      </c>
      <c r="O2" s="13" t="s">
        <v>297</v>
      </c>
      <c r="P2" s="7" t="s">
        <v>15</v>
      </c>
      <c r="Q2" s="3"/>
      <c r="R2" s="3"/>
      <c r="S2" s="3"/>
      <c r="T2" s="3"/>
    </row>
    <row r="3" spans="2:20">
      <c r="B3" s="4">
        <v>2</v>
      </c>
      <c r="C3" s="3" t="s">
        <v>16</v>
      </c>
      <c r="D3" s="3" t="s">
        <v>17</v>
      </c>
      <c r="E3" s="3" t="s">
        <v>18</v>
      </c>
      <c r="F3" s="5" t="s">
        <v>4</v>
      </c>
      <c r="G3" s="6">
        <v>3</v>
      </c>
      <c r="H3" s="3">
        <v>29.28</v>
      </c>
      <c r="I3" s="3">
        <v>34.840000000000003</v>
      </c>
      <c r="J3" s="3">
        <v>4</v>
      </c>
      <c r="K3" s="3">
        <f t="shared" si="0"/>
        <v>117.12</v>
      </c>
      <c r="L3" s="3">
        <f t="shared" si="1"/>
        <v>139.36000000000001</v>
      </c>
      <c r="M3" s="3"/>
      <c r="N3" s="11" t="s">
        <v>360</v>
      </c>
      <c r="O3" s="11"/>
      <c r="P3" s="8" t="s">
        <v>19</v>
      </c>
      <c r="Q3" s="3" t="s">
        <v>20</v>
      </c>
      <c r="R3" s="3" t="s">
        <v>21</v>
      </c>
      <c r="S3" s="3" t="s">
        <v>22</v>
      </c>
      <c r="T3" s="3"/>
    </row>
    <row r="4" spans="2:20">
      <c r="B4" s="4">
        <v>3</v>
      </c>
      <c r="C4" s="3" t="s">
        <v>23</v>
      </c>
      <c r="D4" s="3" t="s">
        <v>24</v>
      </c>
      <c r="E4" s="3" t="s">
        <v>25</v>
      </c>
      <c r="F4" s="5" t="s">
        <v>4</v>
      </c>
      <c r="G4" s="6">
        <v>1</v>
      </c>
      <c r="H4" s="3">
        <v>1.51</v>
      </c>
      <c r="I4" s="3">
        <v>1.8</v>
      </c>
      <c r="J4" s="3">
        <v>50</v>
      </c>
      <c r="K4" s="3">
        <f t="shared" si="0"/>
        <v>75.5</v>
      </c>
      <c r="L4" s="3">
        <f t="shared" si="1"/>
        <v>90</v>
      </c>
      <c r="M4" s="3"/>
      <c r="N4" s="11" t="s">
        <v>361</v>
      </c>
      <c r="O4" s="11"/>
      <c r="P4" s="3" t="s">
        <v>26</v>
      </c>
      <c r="Q4" s="3" t="s">
        <v>27</v>
      </c>
      <c r="R4" s="3" t="s">
        <v>28</v>
      </c>
      <c r="S4" s="3"/>
      <c r="T4" s="3"/>
    </row>
    <row r="5" spans="2:20">
      <c r="B5" s="4">
        <v>4</v>
      </c>
      <c r="C5" s="3" t="s">
        <v>29</v>
      </c>
      <c r="D5" s="3" t="s">
        <v>30</v>
      </c>
      <c r="E5" s="3" t="s">
        <v>31</v>
      </c>
      <c r="F5" s="5" t="s">
        <v>4</v>
      </c>
      <c r="G5" s="6">
        <v>8</v>
      </c>
      <c r="H5" s="3">
        <v>0.06</v>
      </c>
      <c r="I5" s="3">
        <v>7.0000000000000007E-2</v>
      </c>
      <c r="J5" s="3">
        <v>100</v>
      </c>
      <c r="K5" s="9">
        <f t="shared" si="0"/>
        <v>6</v>
      </c>
      <c r="L5" s="3">
        <f t="shared" si="1"/>
        <v>7.0000000000000009</v>
      </c>
      <c r="M5" s="3"/>
      <c r="N5" s="11" t="s">
        <v>362</v>
      </c>
      <c r="O5" s="11"/>
      <c r="P5" s="3" t="s">
        <v>32</v>
      </c>
      <c r="Q5" s="8" t="s">
        <v>33</v>
      </c>
      <c r="R5" s="3" t="s">
        <v>34</v>
      </c>
      <c r="S5" s="3" t="s">
        <v>35</v>
      </c>
      <c r="T5" s="3" t="s">
        <v>36</v>
      </c>
    </row>
    <row r="6" spans="2:20">
      <c r="B6" s="4">
        <v>5</v>
      </c>
      <c r="C6" s="3" t="s">
        <v>37</v>
      </c>
      <c r="D6" s="3" t="s">
        <v>38</v>
      </c>
      <c r="E6" s="3" t="s">
        <v>39</v>
      </c>
      <c r="F6" s="5" t="s">
        <v>4</v>
      </c>
      <c r="G6" s="6">
        <v>1</v>
      </c>
      <c r="H6" s="3">
        <v>36.4</v>
      </c>
      <c r="I6" s="3">
        <v>43.32</v>
      </c>
      <c r="J6" s="3">
        <v>1</v>
      </c>
      <c r="K6" s="9">
        <f t="shared" si="0"/>
        <v>36.4</v>
      </c>
      <c r="L6" s="3">
        <f t="shared" si="1"/>
        <v>43.32</v>
      </c>
      <c r="M6" s="3"/>
      <c r="N6" s="11" t="s">
        <v>363</v>
      </c>
      <c r="O6" s="11"/>
      <c r="P6" s="3" t="s">
        <v>40</v>
      </c>
      <c r="Q6" s="3" t="s">
        <v>35</v>
      </c>
      <c r="R6" s="3" t="s">
        <v>41</v>
      </c>
      <c r="S6" s="3" t="s">
        <v>42</v>
      </c>
      <c r="T6" s="3"/>
    </row>
    <row r="7" spans="2:20">
      <c r="B7" s="4">
        <v>6</v>
      </c>
      <c r="C7" s="3" t="s">
        <v>43</v>
      </c>
      <c r="D7" s="3" t="s">
        <v>44</v>
      </c>
      <c r="E7" s="3" t="s">
        <v>45</v>
      </c>
      <c r="F7" s="5" t="s">
        <v>4</v>
      </c>
      <c r="G7" s="6">
        <v>8</v>
      </c>
      <c r="H7" s="3">
        <v>4.54</v>
      </c>
      <c r="I7" s="3">
        <v>5.4</v>
      </c>
      <c r="J7" s="3">
        <v>4</v>
      </c>
      <c r="K7" s="3">
        <f t="shared" si="0"/>
        <v>18.16</v>
      </c>
      <c r="L7" s="3">
        <f t="shared" si="1"/>
        <v>21.6</v>
      </c>
      <c r="M7" s="3"/>
      <c r="N7" s="11" t="s">
        <v>364</v>
      </c>
      <c r="O7" s="11"/>
      <c r="P7" s="3" t="s">
        <v>46</v>
      </c>
      <c r="Q7" s="3"/>
      <c r="R7" s="3"/>
      <c r="S7" s="3"/>
      <c r="T7" s="3"/>
    </row>
    <row r="8" spans="2:20">
      <c r="B8" s="4">
        <v>7</v>
      </c>
      <c r="C8" s="3" t="s">
        <v>47</v>
      </c>
      <c r="D8" s="3" t="s">
        <v>44</v>
      </c>
      <c r="E8" s="3" t="s">
        <v>48</v>
      </c>
      <c r="F8" s="5" t="s">
        <v>4</v>
      </c>
      <c r="G8" s="6">
        <v>1</v>
      </c>
      <c r="H8" s="3">
        <v>1.83</v>
      </c>
      <c r="I8" s="3">
        <v>2.1800000000000002</v>
      </c>
      <c r="J8" s="3">
        <v>16</v>
      </c>
      <c r="K8" s="3">
        <f t="shared" si="0"/>
        <v>29.28</v>
      </c>
      <c r="L8" s="3">
        <f t="shared" si="1"/>
        <v>34.880000000000003</v>
      </c>
      <c r="M8" s="3"/>
      <c r="N8" s="11" t="s">
        <v>365</v>
      </c>
      <c r="O8" s="11"/>
      <c r="P8" s="3" t="s">
        <v>49</v>
      </c>
      <c r="Q8" s="3" t="s">
        <v>50</v>
      </c>
      <c r="R8" s="3" t="s">
        <v>51</v>
      </c>
      <c r="S8" s="3" t="s">
        <v>52</v>
      </c>
      <c r="T8" s="3"/>
    </row>
    <row r="9" spans="2:20">
      <c r="B9" s="4">
        <v>8</v>
      </c>
      <c r="C9" s="3" t="s">
        <v>53</v>
      </c>
      <c r="D9" s="3" t="s">
        <v>54</v>
      </c>
      <c r="E9" s="3" t="s">
        <v>55</v>
      </c>
      <c r="F9" s="5" t="s">
        <v>4</v>
      </c>
      <c r="G9" s="6">
        <v>10</v>
      </c>
      <c r="H9" s="3">
        <v>32.5</v>
      </c>
      <c r="I9" s="3">
        <v>38.68</v>
      </c>
      <c r="J9" s="3">
        <v>3</v>
      </c>
      <c r="K9" s="9">
        <f t="shared" si="0"/>
        <v>97.5</v>
      </c>
      <c r="L9" s="3">
        <f t="shared" si="1"/>
        <v>116.03999999999999</v>
      </c>
      <c r="M9" s="3"/>
      <c r="N9" s="11" t="s">
        <v>366</v>
      </c>
      <c r="O9" s="11"/>
      <c r="P9" s="3" t="s">
        <v>56</v>
      </c>
      <c r="Q9" s="3" t="s">
        <v>57</v>
      </c>
      <c r="R9" s="3"/>
      <c r="S9" s="3"/>
      <c r="T9" s="3"/>
    </row>
    <row r="10" spans="2:20">
      <c r="B10" s="4">
        <v>9</v>
      </c>
      <c r="C10" s="3" t="s">
        <v>58</v>
      </c>
      <c r="D10" s="3" t="s">
        <v>59</v>
      </c>
      <c r="E10" s="3" t="s">
        <v>60</v>
      </c>
      <c r="F10" s="5" t="s">
        <v>4</v>
      </c>
      <c r="G10" s="6">
        <v>9</v>
      </c>
      <c r="H10" s="3">
        <v>38.1</v>
      </c>
      <c r="I10" s="3">
        <v>45.34</v>
      </c>
      <c r="J10" s="3">
        <v>2</v>
      </c>
      <c r="K10" s="9">
        <f t="shared" si="0"/>
        <v>76.2</v>
      </c>
      <c r="L10" s="3">
        <f t="shared" si="1"/>
        <v>90.68</v>
      </c>
      <c r="M10" s="3"/>
      <c r="N10" s="11" t="s">
        <v>367</v>
      </c>
      <c r="O10" s="11"/>
      <c r="P10" s="3" t="s">
        <v>61</v>
      </c>
      <c r="Q10" s="3" t="s">
        <v>62</v>
      </c>
      <c r="R10" s="3"/>
      <c r="S10" s="3"/>
      <c r="T10" s="3"/>
    </row>
    <row r="11" spans="2:20">
      <c r="B11" s="4">
        <v>10</v>
      </c>
      <c r="C11" s="3" t="s">
        <v>63</v>
      </c>
      <c r="D11" s="3" t="s">
        <v>64</v>
      </c>
      <c r="E11" s="3" t="s">
        <v>65</v>
      </c>
      <c r="F11" s="5" t="s">
        <v>4</v>
      </c>
      <c r="G11" s="6">
        <v>3</v>
      </c>
      <c r="H11" s="3">
        <v>21.6</v>
      </c>
      <c r="I11" s="3">
        <v>25.7</v>
      </c>
      <c r="J11" s="3">
        <v>2</v>
      </c>
      <c r="K11" s="9">
        <f t="shared" si="0"/>
        <v>43.2</v>
      </c>
      <c r="L11" s="3">
        <f t="shared" si="1"/>
        <v>51.4</v>
      </c>
      <c r="M11" s="3"/>
      <c r="N11" s="11" t="s">
        <v>368</v>
      </c>
      <c r="O11" s="11"/>
      <c r="P11" s="3" t="s">
        <v>20</v>
      </c>
      <c r="Q11" s="3" t="s">
        <v>21</v>
      </c>
      <c r="R11" s="3" t="s">
        <v>66</v>
      </c>
      <c r="S11" s="3"/>
      <c r="T11" s="3"/>
    </row>
    <row r="12" spans="2:20">
      <c r="B12" s="4">
        <v>11</v>
      </c>
      <c r="C12" s="3" t="s">
        <v>67</v>
      </c>
      <c r="D12" s="3" t="s">
        <v>68</v>
      </c>
      <c r="E12" s="3" t="s">
        <v>69</v>
      </c>
      <c r="F12" s="5" t="s">
        <v>4</v>
      </c>
      <c r="G12" s="6">
        <v>1</v>
      </c>
      <c r="H12" s="3">
        <v>2.12</v>
      </c>
      <c r="I12" s="3">
        <v>2.52</v>
      </c>
      <c r="J12" s="3">
        <v>10</v>
      </c>
      <c r="K12" s="9">
        <f t="shared" si="0"/>
        <v>21.200000000000003</v>
      </c>
      <c r="L12" s="3">
        <f t="shared" si="1"/>
        <v>25.2</v>
      </c>
      <c r="M12" s="3"/>
      <c r="N12" s="11" t="s">
        <v>369</v>
      </c>
      <c r="O12" s="11"/>
      <c r="P12" s="3" t="s">
        <v>49</v>
      </c>
      <c r="Q12" s="3" t="s">
        <v>70</v>
      </c>
      <c r="R12" s="3" t="s">
        <v>71</v>
      </c>
      <c r="S12" s="3" t="s">
        <v>52</v>
      </c>
      <c r="T12" s="3"/>
    </row>
    <row r="13" spans="2:20">
      <c r="B13" s="4">
        <v>12</v>
      </c>
      <c r="C13" s="3" t="s">
        <v>29</v>
      </c>
      <c r="D13" s="3" t="s">
        <v>30</v>
      </c>
      <c r="E13" s="3" t="s">
        <v>72</v>
      </c>
      <c r="F13" s="5" t="s">
        <v>4</v>
      </c>
      <c r="G13" s="6">
        <v>8</v>
      </c>
      <c r="H13" s="3">
        <v>0.08</v>
      </c>
      <c r="I13" s="3">
        <v>0.1</v>
      </c>
      <c r="J13" s="3">
        <v>100</v>
      </c>
      <c r="K13" s="3">
        <f t="shared" si="0"/>
        <v>8</v>
      </c>
      <c r="L13" s="3">
        <f t="shared" si="1"/>
        <v>10</v>
      </c>
      <c r="M13" s="3"/>
      <c r="N13" s="11" t="s">
        <v>370</v>
      </c>
      <c r="O13" s="11"/>
      <c r="P13" s="3" t="s">
        <v>32</v>
      </c>
      <c r="Q13" s="10" t="s">
        <v>73</v>
      </c>
      <c r="R13" s="3" t="s">
        <v>74</v>
      </c>
      <c r="S13" s="3" t="s">
        <v>35</v>
      </c>
      <c r="T13" s="3" t="s">
        <v>36</v>
      </c>
    </row>
    <row r="14" spans="2:20">
      <c r="B14" s="4">
        <v>13</v>
      </c>
      <c r="C14" s="3" t="s">
        <v>75</v>
      </c>
      <c r="D14" s="3" t="s">
        <v>38</v>
      </c>
      <c r="E14" s="3" t="s">
        <v>76</v>
      </c>
      <c r="F14" s="5" t="s">
        <v>4</v>
      </c>
      <c r="G14" s="6">
        <v>1</v>
      </c>
      <c r="H14" s="3">
        <v>0.43</v>
      </c>
      <c r="I14" s="3">
        <v>0.51</v>
      </c>
      <c r="J14" s="3">
        <v>100</v>
      </c>
      <c r="K14" s="3">
        <f t="shared" si="0"/>
        <v>43</v>
      </c>
      <c r="L14" s="3">
        <f t="shared" si="1"/>
        <v>51</v>
      </c>
      <c r="M14" s="3"/>
      <c r="N14" s="11" t="s">
        <v>371</v>
      </c>
      <c r="O14" s="11"/>
      <c r="P14" s="3" t="s">
        <v>77</v>
      </c>
      <c r="Q14" s="3" t="s">
        <v>35</v>
      </c>
      <c r="R14" s="3" t="s">
        <v>41</v>
      </c>
      <c r="S14" s="3" t="s">
        <v>78</v>
      </c>
      <c r="T14" s="3"/>
    </row>
    <row r="15" spans="2:20">
      <c r="B15" s="4">
        <v>14</v>
      </c>
      <c r="C15" s="3" t="s">
        <v>92</v>
      </c>
      <c r="D15" s="3" t="s">
        <v>93</v>
      </c>
      <c r="E15" s="3" t="s">
        <v>94</v>
      </c>
      <c r="F15" s="5" t="s">
        <v>4</v>
      </c>
      <c r="G15" s="6">
        <v>8</v>
      </c>
      <c r="H15" s="3">
        <v>14.69</v>
      </c>
      <c r="I15" s="3">
        <v>17.48</v>
      </c>
      <c r="J15" s="3">
        <v>1</v>
      </c>
      <c r="K15" s="3">
        <f t="shared" si="0"/>
        <v>14.69</v>
      </c>
      <c r="L15" s="3">
        <f t="shared" si="1"/>
        <v>17.48</v>
      </c>
      <c r="M15" s="3"/>
      <c r="N15" s="11" t="s">
        <v>372</v>
      </c>
      <c r="O15" s="11"/>
      <c r="P15" s="3" t="s">
        <v>95</v>
      </c>
      <c r="Q15" s="3" t="s">
        <v>96</v>
      </c>
      <c r="R15" s="3" t="s">
        <v>97</v>
      </c>
      <c r="S15" s="8" t="s">
        <v>98</v>
      </c>
      <c r="T15" s="3" t="s">
        <v>99</v>
      </c>
    </row>
    <row r="16" spans="2:20">
      <c r="B16" s="4">
        <v>15</v>
      </c>
      <c r="C16" s="3" t="s">
        <v>100</v>
      </c>
      <c r="D16" s="3" t="s">
        <v>101</v>
      </c>
      <c r="E16" s="11">
        <v>2903801</v>
      </c>
      <c r="F16" s="5" t="s">
        <v>4</v>
      </c>
      <c r="G16" s="6">
        <v>7</v>
      </c>
      <c r="H16" s="3">
        <v>40.700000000000003</v>
      </c>
      <c r="I16" s="3">
        <v>48.43</v>
      </c>
      <c r="J16" s="3">
        <v>5</v>
      </c>
      <c r="K16" s="3">
        <f t="shared" si="0"/>
        <v>203.5</v>
      </c>
      <c r="L16" s="3">
        <f t="shared" si="1"/>
        <v>242.15</v>
      </c>
      <c r="M16" s="3"/>
      <c r="N16" s="11" t="s">
        <v>373</v>
      </c>
      <c r="O16" s="11"/>
      <c r="P16" s="3" t="s">
        <v>102</v>
      </c>
      <c r="Q16" s="3"/>
      <c r="R16" s="3"/>
      <c r="S16" s="3"/>
      <c r="T16" s="3"/>
    </row>
    <row r="17" spans="2:20">
      <c r="B17" s="4">
        <v>16</v>
      </c>
      <c r="C17" s="3" t="s">
        <v>103</v>
      </c>
      <c r="D17" s="3" t="s">
        <v>104</v>
      </c>
      <c r="E17" s="11">
        <v>2288927</v>
      </c>
      <c r="F17" s="5" t="s">
        <v>4</v>
      </c>
      <c r="G17" s="6">
        <v>7</v>
      </c>
      <c r="H17" s="3">
        <v>32.9</v>
      </c>
      <c r="I17" s="3">
        <v>39.15</v>
      </c>
      <c r="J17" s="3">
        <v>6</v>
      </c>
      <c r="K17" s="3">
        <f t="shared" si="0"/>
        <v>197.39999999999998</v>
      </c>
      <c r="L17" s="3">
        <f t="shared" si="1"/>
        <v>234.89999999999998</v>
      </c>
      <c r="M17" s="3"/>
      <c r="N17" s="11" t="s">
        <v>374</v>
      </c>
      <c r="O17" s="11"/>
      <c r="P17" s="3" t="s">
        <v>105</v>
      </c>
      <c r="Q17" s="3"/>
      <c r="R17" s="3"/>
      <c r="S17" s="3"/>
      <c r="T17" s="3"/>
    </row>
    <row r="18" spans="2:20">
      <c r="B18" s="4">
        <v>17</v>
      </c>
      <c r="C18" s="3" t="s">
        <v>108</v>
      </c>
      <c r="D18" s="3" t="s">
        <v>109</v>
      </c>
      <c r="E18" s="11" t="s">
        <v>110</v>
      </c>
      <c r="F18" s="5" t="s">
        <v>4</v>
      </c>
      <c r="G18" s="6">
        <v>3</v>
      </c>
      <c r="H18" s="3">
        <v>38</v>
      </c>
      <c r="I18" s="3">
        <v>45.22</v>
      </c>
      <c r="J18" s="3">
        <v>1</v>
      </c>
      <c r="K18" s="3">
        <f t="shared" si="0"/>
        <v>38</v>
      </c>
      <c r="L18" s="3">
        <f t="shared" si="1"/>
        <v>45.22</v>
      </c>
      <c r="M18" s="3"/>
      <c r="N18" s="11" t="s">
        <v>375</v>
      </c>
      <c r="O18" s="11"/>
      <c r="P18" s="3" t="s">
        <v>111</v>
      </c>
      <c r="Q18" s="3" t="s">
        <v>112</v>
      </c>
      <c r="R18" s="3" t="s">
        <v>113</v>
      </c>
      <c r="S18" s="3" t="s">
        <v>114</v>
      </c>
      <c r="T18" s="3"/>
    </row>
    <row r="19" spans="2:20">
      <c r="B19" s="4">
        <v>18</v>
      </c>
      <c r="C19" s="3" t="s">
        <v>115</v>
      </c>
      <c r="D19" s="3" t="s">
        <v>116</v>
      </c>
      <c r="E19" s="3" t="s">
        <v>117</v>
      </c>
      <c r="F19" s="5" t="s">
        <v>4</v>
      </c>
      <c r="G19" s="6">
        <v>3</v>
      </c>
      <c r="H19" s="3">
        <v>30.4</v>
      </c>
      <c r="I19" s="3">
        <v>36.18</v>
      </c>
      <c r="J19" s="3">
        <v>2</v>
      </c>
      <c r="K19" s="3">
        <f t="shared" si="0"/>
        <v>60.8</v>
      </c>
      <c r="L19" s="3">
        <f t="shared" si="1"/>
        <v>72.36</v>
      </c>
      <c r="M19" s="3"/>
      <c r="N19" s="11" t="s">
        <v>376</v>
      </c>
      <c r="O19" s="11"/>
      <c r="P19" s="3" t="s">
        <v>118</v>
      </c>
      <c r="Q19" s="3" t="s">
        <v>119</v>
      </c>
      <c r="R19" s="3" t="s">
        <v>120</v>
      </c>
      <c r="S19" s="3" t="s">
        <v>121</v>
      </c>
      <c r="T19" s="3"/>
    </row>
    <row r="20" spans="2:20">
      <c r="B20" s="4">
        <v>19</v>
      </c>
      <c r="C20" s="3" t="s">
        <v>122</v>
      </c>
      <c r="D20" t="s">
        <v>123</v>
      </c>
      <c r="E20" s="3" t="s">
        <v>124</v>
      </c>
      <c r="F20" s="5" t="s">
        <v>4</v>
      </c>
      <c r="G20" s="6">
        <v>3</v>
      </c>
      <c r="H20" s="3">
        <v>5</v>
      </c>
      <c r="I20" s="3">
        <v>5.95</v>
      </c>
      <c r="J20" s="3">
        <v>2</v>
      </c>
      <c r="K20" s="3">
        <f t="shared" si="0"/>
        <v>10</v>
      </c>
      <c r="L20" s="3">
        <f t="shared" si="1"/>
        <v>11.9</v>
      </c>
      <c r="M20" s="3"/>
      <c r="N20" s="11" t="s">
        <v>377</v>
      </c>
      <c r="O20" s="11"/>
      <c r="P20" s="3" t="s">
        <v>125</v>
      </c>
      <c r="Q20" s="3"/>
      <c r="R20" s="3"/>
      <c r="S20" s="3"/>
      <c r="T20" s="3"/>
    </row>
    <row r="21" spans="2:20">
      <c r="B21" s="4">
        <v>20</v>
      </c>
      <c r="C21" s="3" t="s">
        <v>126</v>
      </c>
      <c r="D21" s="3" t="s">
        <v>127</v>
      </c>
      <c r="E21" s="3" t="s">
        <v>128</v>
      </c>
      <c r="F21" s="5" t="s">
        <v>4</v>
      </c>
      <c r="G21" s="6">
        <v>3</v>
      </c>
      <c r="H21" s="3">
        <v>14.8</v>
      </c>
      <c r="I21" s="3">
        <v>17.61</v>
      </c>
      <c r="J21" s="3">
        <v>8</v>
      </c>
      <c r="K21" s="3">
        <f t="shared" si="0"/>
        <v>118.4</v>
      </c>
      <c r="L21" s="3">
        <f t="shared" si="1"/>
        <v>140.88</v>
      </c>
      <c r="M21" s="3"/>
      <c r="N21" s="11" t="s">
        <v>378</v>
      </c>
      <c r="O21" s="11"/>
      <c r="P21" s="3" t="s">
        <v>129</v>
      </c>
      <c r="Q21" s="3" t="s">
        <v>130</v>
      </c>
      <c r="R21" s="3" t="s">
        <v>131</v>
      </c>
      <c r="S21" s="3"/>
      <c r="T21" s="3"/>
    </row>
    <row r="22" spans="2:20">
      <c r="B22" s="4">
        <v>21</v>
      </c>
      <c r="C22" s="3" t="s">
        <v>132</v>
      </c>
      <c r="D22" s="3" t="s">
        <v>133</v>
      </c>
      <c r="E22" s="3" t="s">
        <v>134</v>
      </c>
      <c r="F22" s="5" t="s">
        <v>4</v>
      </c>
      <c r="G22" s="6">
        <v>3</v>
      </c>
      <c r="H22" s="3">
        <v>2.1</v>
      </c>
      <c r="I22" s="3">
        <v>2.5</v>
      </c>
      <c r="J22" s="3">
        <v>40</v>
      </c>
      <c r="K22" s="3">
        <f t="shared" si="0"/>
        <v>84</v>
      </c>
      <c r="L22" s="3">
        <f t="shared" si="1"/>
        <v>100</v>
      </c>
      <c r="M22" s="3"/>
      <c r="N22" s="11" t="s">
        <v>379</v>
      </c>
      <c r="O22" s="11"/>
      <c r="P22" s="3" t="s">
        <v>135</v>
      </c>
      <c r="Q22" s="3" t="s">
        <v>136</v>
      </c>
      <c r="R22" s="3" t="s">
        <v>137</v>
      </c>
      <c r="S22" s="3"/>
      <c r="T22" s="3"/>
    </row>
    <row r="23" spans="2:20">
      <c r="B23" s="4">
        <v>22</v>
      </c>
      <c r="C23" s="3" t="s">
        <v>138</v>
      </c>
      <c r="D23" s="3" t="s">
        <v>139</v>
      </c>
      <c r="E23" s="3" t="s">
        <v>140</v>
      </c>
      <c r="F23" s="5" t="s">
        <v>4</v>
      </c>
      <c r="G23" s="6">
        <v>3</v>
      </c>
      <c r="H23" s="3">
        <v>2.2999999999999998</v>
      </c>
      <c r="I23" s="3">
        <v>2.74</v>
      </c>
      <c r="J23" s="3">
        <v>20</v>
      </c>
      <c r="K23" s="3">
        <f t="shared" si="0"/>
        <v>46</v>
      </c>
      <c r="L23" s="3">
        <f t="shared" si="1"/>
        <v>54.800000000000004</v>
      </c>
      <c r="M23" s="3"/>
      <c r="N23" s="11" t="s">
        <v>380</v>
      </c>
      <c r="O23" s="11"/>
      <c r="P23" s="3" t="s">
        <v>113</v>
      </c>
      <c r="Q23" s="3" t="s">
        <v>141</v>
      </c>
      <c r="R23" s="3" t="s">
        <v>142</v>
      </c>
      <c r="S23" s="3"/>
      <c r="T23" s="3"/>
    </row>
    <row r="24" spans="2:20">
      <c r="B24" s="4">
        <v>23</v>
      </c>
      <c r="C24" s="3" t="s">
        <v>143</v>
      </c>
      <c r="D24" s="3" t="s">
        <v>144</v>
      </c>
      <c r="E24" s="3" t="s">
        <v>145</v>
      </c>
      <c r="F24" s="5" t="s">
        <v>4</v>
      </c>
      <c r="G24" s="6">
        <v>3</v>
      </c>
      <c r="H24" s="3">
        <v>0.7</v>
      </c>
      <c r="I24" s="3">
        <v>0.83</v>
      </c>
      <c r="J24" s="3">
        <v>50</v>
      </c>
      <c r="K24" s="3">
        <f t="shared" si="0"/>
        <v>35</v>
      </c>
      <c r="L24" s="3">
        <f t="shared" si="1"/>
        <v>41.5</v>
      </c>
      <c r="M24" s="3"/>
      <c r="N24" s="11" t="s">
        <v>381</v>
      </c>
      <c r="O24" s="11"/>
      <c r="P24" s="3" t="s">
        <v>146</v>
      </c>
      <c r="Q24" s="3" t="s">
        <v>147</v>
      </c>
      <c r="R24" s="3" t="s">
        <v>148</v>
      </c>
      <c r="S24" s="3"/>
      <c r="T24" s="3"/>
    </row>
    <row r="25" spans="2:20">
      <c r="B25" s="4">
        <v>24</v>
      </c>
      <c r="C25" s="3" t="s">
        <v>149</v>
      </c>
      <c r="D25" s="3" t="s">
        <v>150</v>
      </c>
      <c r="E25" s="3" t="s">
        <v>151</v>
      </c>
      <c r="F25" s="5" t="s">
        <v>4</v>
      </c>
      <c r="G25" s="6">
        <v>4</v>
      </c>
      <c r="H25" s="3">
        <v>92</v>
      </c>
      <c r="I25" s="3">
        <v>109.48</v>
      </c>
      <c r="J25" s="3">
        <v>1</v>
      </c>
      <c r="K25" s="3">
        <f t="shared" si="0"/>
        <v>92</v>
      </c>
      <c r="L25" s="3">
        <f t="shared" si="1"/>
        <v>109.48</v>
      </c>
      <c r="M25" s="3"/>
      <c r="N25" s="11" t="s">
        <v>382</v>
      </c>
      <c r="O25" s="11"/>
      <c r="P25" s="3" t="s">
        <v>152</v>
      </c>
      <c r="Q25" s="3" t="s">
        <v>120</v>
      </c>
      <c r="R25" s="3" t="s">
        <v>153</v>
      </c>
      <c r="S25" s="3" t="s">
        <v>154</v>
      </c>
      <c r="T25" s="3" t="s">
        <v>155</v>
      </c>
    </row>
    <row r="26" spans="2:20">
      <c r="B26" s="4">
        <v>25</v>
      </c>
      <c r="C26" s="3" t="s">
        <v>143</v>
      </c>
      <c r="D26" s="3" t="s">
        <v>185</v>
      </c>
      <c r="E26" s="3" t="s">
        <v>186</v>
      </c>
      <c r="F26" s="5" t="s">
        <v>4</v>
      </c>
      <c r="G26" s="6"/>
      <c r="H26" s="3">
        <v>0.7</v>
      </c>
      <c r="I26" s="3">
        <v>0.83</v>
      </c>
      <c r="J26" s="3">
        <v>50</v>
      </c>
      <c r="K26" s="3">
        <f t="shared" si="0"/>
        <v>35</v>
      </c>
      <c r="L26" s="3">
        <f t="shared" si="1"/>
        <v>41.5</v>
      </c>
      <c r="M26" s="3"/>
      <c r="N26" s="11" t="s">
        <v>383</v>
      </c>
      <c r="O26" s="11"/>
      <c r="P26" s="3"/>
      <c r="Q26" s="3"/>
      <c r="R26" s="3"/>
      <c r="S26" s="3"/>
      <c r="T26" s="3"/>
    </row>
    <row r="27" spans="2:20">
      <c r="B27" s="4">
        <v>26</v>
      </c>
      <c r="C27" s="3" t="s">
        <v>143</v>
      </c>
      <c r="D27" s="3" t="s">
        <v>187</v>
      </c>
      <c r="E27" s="3" t="s">
        <v>188</v>
      </c>
      <c r="F27" s="5" t="s">
        <v>4</v>
      </c>
      <c r="G27" s="6"/>
      <c r="H27" s="3">
        <v>0.7</v>
      </c>
      <c r="I27" s="3">
        <v>0.83</v>
      </c>
      <c r="J27" s="3">
        <v>50</v>
      </c>
      <c r="K27" s="3">
        <f t="shared" si="0"/>
        <v>35</v>
      </c>
      <c r="L27" s="3">
        <f t="shared" si="1"/>
        <v>41.5</v>
      </c>
      <c r="M27" s="3"/>
      <c r="N27" s="11" t="s">
        <v>384</v>
      </c>
      <c r="O27" s="11"/>
      <c r="P27" s="3"/>
      <c r="Q27" s="3"/>
      <c r="R27" s="3"/>
      <c r="S27" s="3"/>
      <c r="T27" s="3"/>
    </row>
    <row r="28" spans="2:20">
      <c r="B28" s="4">
        <v>27</v>
      </c>
      <c r="C28" s="3" t="s">
        <v>189</v>
      </c>
      <c r="D28" s="3" t="s">
        <v>190</v>
      </c>
      <c r="E28" s="3" t="s">
        <v>191</v>
      </c>
      <c r="F28" s="5" t="s">
        <v>4</v>
      </c>
      <c r="G28" s="6"/>
      <c r="H28" s="3">
        <v>84.1</v>
      </c>
      <c r="I28" s="3">
        <v>100.08</v>
      </c>
      <c r="J28" s="3">
        <v>1</v>
      </c>
      <c r="K28" s="3">
        <f t="shared" si="0"/>
        <v>84.1</v>
      </c>
      <c r="L28" s="3">
        <f t="shared" si="1"/>
        <v>100.08</v>
      </c>
      <c r="M28" s="3"/>
      <c r="N28" s="11" t="s">
        <v>385</v>
      </c>
      <c r="O28" s="11"/>
      <c r="P28" s="3"/>
      <c r="Q28" s="3"/>
      <c r="R28" s="3"/>
      <c r="S28" s="3"/>
      <c r="T28" s="3"/>
    </row>
    <row r="29" spans="2:20">
      <c r="B29" s="4">
        <v>28</v>
      </c>
      <c r="C29" s="3" t="s">
        <v>192</v>
      </c>
      <c r="D29" s="3" t="s">
        <v>193</v>
      </c>
      <c r="E29" s="3" t="s">
        <v>194</v>
      </c>
      <c r="F29" s="5" t="s">
        <v>4</v>
      </c>
      <c r="G29" s="6"/>
      <c r="H29" s="3">
        <v>6.5</v>
      </c>
      <c r="I29" s="3">
        <v>7.74</v>
      </c>
      <c r="J29" s="3">
        <v>3</v>
      </c>
      <c r="K29" s="3">
        <f t="shared" si="0"/>
        <v>19.5</v>
      </c>
      <c r="L29" s="3">
        <f t="shared" si="1"/>
        <v>23.22</v>
      </c>
      <c r="M29" s="3"/>
      <c r="N29" s="11" t="s">
        <v>386</v>
      </c>
      <c r="O29" s="11"/>
      <c r="P29" s="3"/>
      <c r="Q29" s="3"/>
      <c r="R29" s="3"/>
      <c r="S29" s="3"/>
      <c r="T29" s="3"/>
    </row>
    <row r="30" spans="2:20">
      <c r="B30" s="4">
        <v>29</v>
      </c>
      <c r="C30" s="3" t="s">
        <v>325</v>
      </c>
      <c r="D30" s="3" t="s">
        <v>329</v>
      </c>
      <c r="E30" s="19" t="s">
        <v>326</v>
      </c>
      <c r="F30" s="5" t="s">
        <v>4</v>
      </c>
      <c r="G30" s="6"/>
      <c r="H30" s="3">
        <v>0.67</v>
      </c>
      <c r="I30" s="3">
        <v>0.8</v>
      </c>
      <c r="J30" s="3">
        <v>20</v>
      </c>
      <c r="K30" s="3">
        <f t="shared" si="0"/>
        <v>13.4</v>
      </c>
      <c r="L30" s="3">
        <f t="shared" si="1"/>
        <v>16</v>
      </c>
      <c r="M30" s="3"/>
      <c r="N30" s="11" t="s">
        <v>387</v>
      </c>
      <c r="O30" s="11"/>
      <c r="P30" s="3"/>
      <c r="Q30" s="3"/>
      <c r="R30" s="3"/>
      <c r="S30" s="3"/>
      <c r="T30" s="3"/>
    </row>
    <row r="31" spans="2:20">
      <c r="B31" s="4">
        <v>30</v>
      </c>
      <c r="C31" s="3" t="s">
        <v>29</v>
      </c>
      <c r="D31" s="3" t="s">
        <v>328</v>
      </c>
      <c r="E31" s="19" t="s">
        <v>327</v>
      </c>
      <c r="F31" s="5" t="s">
        <v>4</v>
      </c>
      <c r="G31" s="6"/>
      <c r="H31" s="3">
        <v>0.32</v>
      </c>
      <c r="I31" s="3">
        <v>0.38</v>
      </c>
      <c r="J31" s="3">
        <v>20</v>
      </c>
      <c r="K31" s="3">
        <f t="shared" si="0"/>
        <v>6.4</v>
      </c>
      <c r="L31" s="3">
        <f t="shared" si="1"/>
        <v>7.6</v>
      </c>
      <c r="M31" s="3"/>
      <c r="N31" s="11" t="s">
        <v>388</v>
      </c>
      <c r="O31" s="11"/>
      <c r="P31" s="3"/>
      <c r="Q31" s="3"/>
      <c r="R31" s="3"/>
      <c r="S31" s="3"/>
      <c r="T31" s="3"/>
    </row>
    <row r="32" spans="2:20">
      <c r="B32" s="4">
        <v>31</v>
      </c>
      <c r="C32" s="3" t="s">
        <v>316</v>
      </c>
      <c r="D32" s="3" t="s">
        <v>219</v>
      </c>
      <c r="E32" s="19" t="s">
        <v>315</v>
      </c>
      <c r="F32" s="5" t="s">
        <v>4</v>
      </c>
      <c r="G32" s="6">
        <v>3</v>
      </c>
      <c r="H32" s="3">
        <v>69.8</v>
      </c>
      <c r="I32" s="3">
        <v>83.06</v>
      </c>
      <c r="J32" s="3">
        <v>1</v>
      </c>
      <c r="K32" s="3">
        <f t="shared" si="0"/>
        <v>69.8</v>
      </c>
      <c r="L32" s="3">
        <f t="shared" si="1"/>
        <v>83.06</v>
      </c>
      <c r="M32" s="3"/>
      <c r="N32" s="11" t="s">
        <v>389</v>
      </c>
      <c r="O32" s="11"/>
      <c r="P32" s="3"/>
      <c r="Q32" s="3"/>
      <c r="R32" s="3"/>
      <c r="S32" s="3"/>
      <c r="T32" s="3"/>
    </row>
    <row r="33" spans="2:20">
      <c r="B33" s="4">
        <v>32</v>
      </c>
      <c r="C33" s="3" t="s">
        <v>320</v>
      </c>
      <c r="D33" s="3" t="s">
        <v>68</v>
      </c>
      <c r="E33" s="19" t="s">
        <v>321</v>
      </c>
      <c r="F33" s="5" t="s">
        <v>4</v>
      </c>
      <c r="G33" s="6"/>
      <c r="H33" s="3">
        <v>4.2300000000000004</v>
      </c>
      <c r="I33" s="3">
        <v>5.03</v>
      </c>
      <c r="J33" s="3">
        <v>2</v>
      </c>
      <c r="K33" s="3">
        <f t="shared" si="0"/>
        <v>8.4600000000000009</v>
      </c>
      <c r="L33" s="3">
        <f t="shared" si="1"/>
        <v>10.06</v>
      </c>
      <c r="M33" s="3"/>
      <c r="N33" s="11" t="s">
        <v>390</v>
      </c>
      <c r="O33" s="11"/>
      <c r="P33" s="3"/>
      <c r="Q33" s="3"/>
      <c r="R33" s="3"/>
      <c r="S33" s="3"/>
      <c r="T33" s="3"/>
    </row>
    <row r="34" spans="2:20">
      <c r="B34" s="4">
        <v>33</v>
      </c>
      <c r="C34" s="3" t="s">
        <v>322</v>
      </c>
      <c r="D34" s="3" t="s">
        <v>324</v>
      </c>
      <c r="E34" s="19" t="s">
        <v>323</v>
      </c>
      <c r="F34" s="5" t="s">
        <v>4</v>
      </c>
      <c r="G34" s="6"/>
      <c r="H34" s="3">
        <v>0.6</v>
      </c>
      <c r="I34" s="3">
        <v>0.71</v>
      </c>
      <c r="J34" s="3">
        <v>40</v>
      </c>
      <c r="K34" s="3">
        <f t="shared" si="0"/>
        <v>24</v>
      </c>
      <c r="L34" s="3">
        <f t="shared" si="1"/>
        <v>28.4</v>
      </c>
      <c r="M34" s="3"/>
      <c r="N34" s="11" t="s">
        <v>391</v>
      </c>
      <c r="O34" s="11"/>
      <c r="P34" s="3"/>
      <c r="Q34" s="3"/>
      <c r="R34" s="3"/>
      <c r="S34" s="3"/>
      <c r="T34" s="3"/>
    </row>
    <row r="35" spans="2:20">
      <c r="B35" s="4">
        <v>34</v>
      </c>
      <c r="C35" s="3" t="s">
        <v>325</v>
      </c>
      <c r="D35" s="3" t="s">
        <v>331</v>
      </c>
      <c r="E35" s="19" t="s">
        <v>330</v>
      </c>
      <c r="F35" s="5" t="s">
        <v>4</v>
      </c>
      <c r="G35" s="6"/>
      <c r="H35" s="3">
        <v>0.67</v>
      </c>
      <c r="I35" s="3">
        <v>0.8</v>
      </c>
      <c r="J35" s="3">
        <v>20</v>
      </c>
      <c r="K35" s="3">
        <f t="shared" si="0"/>
        <v>13.4</v>
      </c>
      <c r="L35" s="3">
        <f t="shared" si="1"/>
        <v>16</v>
      </c>
      <c r="M35" s="3"/>
      <c r="N35" s="11" t="s">
        <v>392</v>
      </c>
      <c r="O35" s="11"/>
      <c r="P35" s="3"/>
      <c r="Q35" s="3"/>
      <c r="R35" s="3"/>
      <c r="S35" s="3"/>
      <c r="T35" s="3"/>
    </row>
    <row r="36" spans="2:20">
      <c r="B36" s="4">
        <v>35</v>
      </c>
      <c r="C36" s="3" t="s">
        <v>332</v>
      </c>
      <c r="D36" s="3" t="s">
        <v>333</v>
      </c>
      <c r="E36" s="19" t="s">
        <v>334</v>
      </c>
      <c r="F36" s="5" t="s">
        <v>4</v>
      </c>
      <c r="G36" s="6"/>
      <c r="H36" s="3">
        <v>1.65</v>
      </c>
      <c r="I36" s="3">
        <v>1.96</v>
      </c>
      <c r="J36" s="3">
        <v>10</v>
      </c>
      <c r="K36" s="3">
        <f t="shared" si="0"/>
        <v>16.5</v>
      </c>
      <c r="L36" s="3">
        <f t="shared" si="1"/>
        <v>19.600000000000001</v>
      </c>
      <c r="M36" s="3"/>
      <c r="N36" s="11" t="s">
        <v>393</v>
      </c>
      <c r="O36" s="11"/>
      <c r="P36" s="3"/>
      <c r="Q36" s="3"/>
      <c r="R36" s="3"/>
      <c r="S36" s="3"/>
      <c r="T36" s="3"/>
    </row>
    <row r="37" spans="2:20">
      <c r="B37" s="4">
        <v>36</v>
      </c>
      <c r="C37" s="3" t="s">
        <v>335</v>
      </c>
      <c r="D37" s="3" t="s">
        <v>337</v>
      </c>
      <c r="E37" s="3" t="s">
        <v>336</v>
      </c>
      <c r="F37" s="5" t="s">
        <v>4</v>
      </c>
      <c r="G37" s="3"/>
      <c r="H37" s="3">
        <v>0.33</v>
      </c>
      <c r="I37" s="3">
        <v>0.39</v>
      </c>
      <c r="J37" s="3">
        <v>10</v>
      </c>
      <c r="K37" s="3">
        <f t="shared" si="0"/>
        <v>3.3000000000000003</v>
      </c>
      <c r="L37" s="3">
        <f t="shared" si="1"/>
        <v>3.9000000000000004</v>
      </c>
      <c r="M37" s="3"/>
      <c r="N37" s="11" t="s">
        <v>394</v>
      </c>
      <c r="O37" s="11"/>
      <c r="P37" s="3"/>
      <c r="Q37" s="3"/>
      <c r="R37" s="3"/>
      <c r="S37" s="3"/>
      <c r="T37" s="3"/>
    </row>
    <row r="38" spans="2:20">
      <c r="B38" s="4">
        <v>37</v>
      </c>
      <c r="C38" s="3" t="s">
        <v>312</v>
      </c>
      <c r="D38" s="3"/>
      <c r="E38" s="3" t="s">
        <v>313</v>
      </c>
      <c r="F38" s="18" t="s">
        <v>4</v>
      </c>
      <c r="G38" s="3"/>
      <c r="H38" s="3">
        <v>5.04</v>
      </c>
      <c r="I38" s="3">
        <v>6</v>
      </c>
      <c r="J38" s="3">
        <v>10</v>
      </c>
      <c r="K38" s="3">
        <f t="shared" si="0"/>
        <v>50.4</v>
      </c>
      <c r="L38" s="3">
        <f t="shared" si="1"/>
        <v>60</v>
      </c>
      <c r="M38" s="3"/>
      <c r="N38" s="11" t="s">
        <v>395</v>
      </c>
      <c r="O38" s="11"/>
      <c r="P38" s="3"/>
      <c r="Q38" s="3"/>
      <c r="R38" s="3"/>
      <c r="S38" s="3"/>
      <c r="T38" s="3"/>
    </row>
    <row r="39" spans="2:20">
      <c r="B39" s="4">
        <v>38</v>
      </c>
      <c r="C39" s="3" t="s">
        <v>322</v>
      </c>
      <c r="D39" s="3" t="s">
        <v>338</v>
      </c>
      <c r="E39" s="3" t="s">
        <v>339</v>
      </c>
      <c r="F39" s="18" t="s">
        <v>4</v>
      </c>
      <c r="G39" s="3"/>
      <c r="H39" s="3">
        <v>0.6</v>
      </c>
      <c r="I39" s="3">
        <v>0.71</v>
      </c>
      <c r="J39" s="3">
        <v>20</v>
      </c>
      <c r="K39" s="3"/>
      <c r="L39" s="3">
        <f t="shared" si="1"/>
        <v>14.2</v>
      </c>
      <c r="M39" s="3"/>
      <c r="N39" s="11" t="s">
        <v>396</v>
      </c>
      <c r="O39" s="11"/>
      <c r="P39" s="3"/>
      <c r="Q39" s="3"/>
      <c r="R39" s="3"/>
      <c r="S39" s="3"/>
      <c r="T39" s="3"/>
    </row>
    <row r="40" spans="2:20">
      <c r="B40" s="4">
        <v>39</v>
      </c>
      <c r="C40" s="3" t="s">
        <v>340</v>
      </c>
      <c r="D40" s="3" t="s">
        <v>338</v>
      </c>
      <c r="E40" s="3" t="s">
        <v>341</v>
      </c>
      <c r="F40" s="18" t="s">
        <v>4</v>
      </c>
      <c r="G40" s="3"/>
      <c r="H40" s="3">
        <v>0.68</v>
      </c>
      <c r="I40" s="3">
        <v>0.81</v>
      </c>
      <c r="J40" s="3">
        <v>20</v>
      </c>
      <c r="K40" s="3"/>
      <c r="L40" s="3">
        <f t="shared" si="1"/>
        <v>16.200000000000003</v>
      </c>
      <c r="M40" s="3"/>
      <c r="N40" s="11" t="s">
        <v>397</v>
      </c>
      <c r="O40" s="11"/>
      <c r="P40" s="3"/>
      <c r="Q40" s="3"/>
      <c r="R40" s="3"/>
      <c r="S40" s="3"/>
      <c r="T40" s="3"/>
    </row>
    <row r="41" spans="2:20">
      <c r="B41" s="4">
        <v>40</v>
      </c>
      <c r="C41" s="3" t="s">
        <v>342</v>
      </c>
      <c r="D41" s="3" t="s">
        <v>343</v>
      </c>
      <c r="E41" s="3" t="s">
        <v>344</v>
      </c>
      <c r="F41" s="18" t="s">
        <v>4</v>
      </c>
      <c r="G41" s="3"/>
      <c r="H41" s="3">
        <v>0.68</v>
      </c>
      <c r="I41" s="3">
        <v>0.81</v>
      </c>
      <c r="J41" s="3">
        <v>20</v>
      </c>
      <c r="K41" s="3"/>
      <c r="L41" s="3">
        <f t="shared" si="1"/>
        <v>16.200000000000003</v>
      </c>
      <c r="M41" s="3"/>
      <c r="N41" s="11" t="s">
        <v>398</v>
      </c>
      <c r="O41" s="11"/>
      <c r="P41" s="3"/>
      <c r="Q41" s="3"/>
      <c r="R41" s="3"/>
      <c r="S41" s="3"/>
      <c r="T41" s="3"/>
    </row>
    <row r="42" spans="2:20">
      <c r="B42" s="4">
        <v>41</v>
      </c>
      <c r="C42" s="3" t="s">
        <v>29</v>
      </c>
      <c r="D42" s="3" t="s">
        <v>346</v>
      </c>
      <c r="E42" s="3" t="s">
        <v>345</v>
      </c>
      <c r="F42" s="18" t="s">
        <v>4</v>
      </c>
      <c r="G42" s="3"/>
      <c r="H42" s="3">
        <v>0.38</v>
      </c>
      <c r="I42" s="3">
        <v>0.45</v>
      </c>
      <c r="J42" s="3">
        <v>20</v>
      </c>
      <c r="K42" s="3"/>
      <c r="L42" s="3">
        <f t="shared" si="1"/>
        <v>9</v>
      </c>
      <c r="M42" s="3"/>
      <c r="N42" s="11" t="s">
        <v>399</v>
      </c>
      <c r="O42" s="11"/>
      <c r="P42" s="3"/>
      <c r="Q42" s="3"/>
      <c r="R42" s="3"/>
      <c r="S42" s="3"/>
      <c r="T42" s="3"/>
    </row>
    <row r="43" spans="2:20">
      <c r="B43" s="4">
        <v>42</v>
      </c>
      <c r="C43" s="3" t="s">
        <v>349</v>
      </c>
      <c r="D43" s="3" t="s">
        <v>348</v>
      </c>
      <c r="E43" s="3" t="s">
        <v>347</v>
      </c>
      <c r="F43" s="18" t="s">
        <v>4</v>
      </c>
      <c r="G43" s="3"/>
      <c r="H43" s="3">
        <v>0.28999999999999998</v>
      </c>
      <c r="I43" s="3">
        <v>0.35</v>
      </c>
      <c r="J43" s="3">
        <v>40</v>
      </c>
      <c r="K43" s="3"/>
      <c r="L43" s="3">
        <f t="shared" si="1"/>
        <v>14</v>
      </c>
      <c r="M43" s="3"/>
      <c r="N43" s="11" t="s">
        <v>400</v>
      </c>
      <c r="O43" s="11"/>
      <c r="P43" s="3"/>
      <c r="Q43" s="3"/>
      <c r="R43" s="3"/>
      <c r="S43" s="3"/>
      <c r="T43" s="3"/>
    </row>
    <row r="44" spans="2:20">
      <c r="B44" s="4">
        <v>43</v>
      </c>
      <c r="C44" s="3" t="s">
        <v>349</v>
      </c>
      <c r="D44" s="3" t="s">
        <v>351</v>
      </c>
      <c r="E44" s="19" t="s">
        <v>350</v>
      </c>
      <c r="F44" s="18" t="s">
        <v>4</v>
      </c>
      <c r="G44" s="3"/>
      <c r="H44" s="3">
        <v>0.28999999999999998</v>
      </c>
      <c r="I44" s="3">
        <v>0.35</v>
      </c>
      <c r="J44" s="3">
        <v>40</v>
      </c>
      <c r="K44" s="3"/>
      <c r="L44" s="3">
        <f t="shared" si="1"/>
        <v>14</v>
      </c>
      <c r="M44" s="3"/>
      <c r="N44" s="11" t="s">
        <v>401</v>
      </c>
      <c r="O44" s="11"/>
      <c r="P44" s="3"/>
      <c r="Q44" s="3"/>
      <c r="R44" s="3"/>
      <c r="S44" s="3"/>
      <c r="T44" s="3"/>
    </row>
    <row r="45" spans="2:20">
      <c r="B45" s="4">
        <v>44</v>
      </c>
      <c r="C45" s="3" t="s">
        <v>349</v>
      </c>
      <c r="D45" s="3" t="s">
        <v>353</v>
      </c>
      <c r="E45" s="3" t="s">
        <v>352</v>
      </c>
      <c r="F45" s="18" t="s">
        <v>4</v>
      </c>
      <c r="G45" s="3"/>
      <c r="H45" s="3">
        <v>0.15</v>
      </c>
      <c r="I45" s="3">
        <v>0.18</v>
      </c>
      <c r="J45" s="3">
        <v>40</v>
      </c>
      <c r="K45" s="3"/>
      <c r="L45" s="3">
        <f t="shared" si="1"/>
        <v>7.1999999999999993</v>
      </c>
      <c r="M45" s="3"/>
      <c r="N45" s="11" t="s">
        <v>402</v>
      </c>
      <c r="O45" s="11"/>
      <c r="P45" s="3"/>
      <c r="Q45" s="3"/>
      <c r="R45" s="3"/>
      <c r="S45" s="3"/>
      <c r="T45" s="3"/>
    </row>
    <row r="46" spans="2:20">
      <c r="B46" s="4">
        <v>45</v>
      </c>
      <c r="C46" s="3" t="s">
        <v>354</v>
      </c>
      <c r="D46" s="3" t="s">
        <v>356</v>
      </c>
      <c r="E46" s="3" t="s">
        <v>355</v>
      </c>
      <c r="F46" s="18" t="s">
        <v>4</v>
      </c>
      <c r="G46" s="3"/>
      <c r="H46" s="3">
        <v>3.97</v>
      </c>
      <c r="I46" s="3">
        <v>4.72</v>
      </c>
      <c r="J46" s="3">
        <v>6</v>
      </c>
      <c r="K46" s="3"/>
      <c r="L46" s="3">
        <f t="shared" si="1"/>
        <v>28.32</v>
      </c>
      <c r="M46" s="3"/>
      <c r="N46" s="11" t="s">
        <v>403</v>
      </c>
      <c r="O46" s="11"/>
      <c r="P46" s="3"/>
      <c r="Q46" s="3"/>
      <c r="R46" s="3"/>
      <c r="S46" s="3"/>
      <c r="T46" s="3"/>
    </row>
    <row r="47" spans="2:20">
      <c r="B47" s="4">
        <v>46</v>
      </c>
      <c r="C47" s="3" t="s">
        <v>358</v>
      </c>
      <c r="D47" s="3"/>
      <c r="E47" s="3" t="s">
        <v>357</v>
      </c>
      <c r="F47" s="18" t="s">
        <v>4</v>
      </c>
      <c r="G47" s="3"/>
      <c r="H47" s="3">
        <v>11.76</v>
      </c>
      <c r="I47" s="3">
        <v>13.99</v>
      </c>
      <c r="J47" s="3">
        <v>1</v>
      </c>
      <c r="K47" s="3"/>
      <c r="L47" s="3">
        <f t="shared" si="1"/>
        <v>13.99</v>
      </c>
      <c r="M47" s="3"/>
      <c r="N47" s="11" t="s">
        <v>404</v>
      </c>
      <c r="O47" s="11"/>
      <c r="P47" s="3"/>
      <c r="Q47" s="3"/>
      <c r="R47" s="3"/>
      <c r="S47" s="3"/>
      <c r="T47" s="3"/>
    </row>
    <row r="48" spans="2:20">
      <c r="B48" s="4">
        <v>47</v>
      </c>
      <c r="C48" s="3" t="s">
        <v>161</v>
      </c>
      <c r="D48" s="3" t="s">
        <v>162</v>
      </c>
      <c r="E48" s="3" t="s">
        <v>163</v>
      </c>
      <c r="F48" s="5" t="s">
        <v>4</v>
      </c>
      <c r="G48" s="6">
        <v>4</v>
      </c>
      <c r="H48" s="3">
        <v>63.6</v>
      </c>
      <c r="I48" s="3">
        <v>75.680000000000007</v>
      </c>
      <c r="J48" s="3">
        <v>6</v>
      </c>
      <c r="K48" s="3">
        <f>H48*J48</f>
        <v>381.6</v>
      </c>
      <c r="L48" s="3">
        <f t="shared" si="1"/>
        <v>454.08000000000004</v>
      </c>
      <c r="M48" s="3"/>
      <c r="N48" s="11" t="s">
        <v>405</v>
      </c>
      <c r="O48" s="11"/>
      <c r="P48" s="3"/>
      <c r="Q48" s="3"/>
      <c r="R48" s="3"/>
      <c r="S48" s="3"/>
      <c r="T48" s="3"/>
    </row>
    <row r="50" spans="2:20">
      <c r="B50" s="4">
        <v>48</v>
      </c>
      <c r="C50" s="3" t="s">
        <v>156</v>
      </c>
      <c r="D50" s="3" t="s">
        <v>109</v>
      </c>
      <c r="E50" s="3" t="s">
        <v>157</v>
      </c>
      <c r="F50" s="5" t="s">
        <v>4</v>
      </c>
      <c r="G50" s="6">
        <v>13</v>
      </c>
      <c r="H50" s="3"/>
      <c r="I50" s="3">
        <v>99.32</v>
      </c>
      <c r="J50" s="3">
        <v>2</v>
      </c>
      <c r="K50" s="3">
        <f>H50*J50</f>
        <v>0</v>
      </c>
      <c r="L50" s="3">
        <f t="shared" ref="L50:L70" si="2">I50*J50</f>
        <v>198.64</v>
      </c>
      <c r="M50" s="3"/>
      <c r="N50" s="11" t="s">
        <v>406</v>
      </c>
      <c r="O50" s="11"/>
      <c r="P50" s="3"/>
      <c r="Q50" s="3"/>
      <c r="R50" s="3"/>
      <c r="S50" s="3"/>
      <c r="T50" s="3"/>
    </row>
    <row r="51" spans="2:20">
      <c r="B51" s="4">
        <v>49</v>
      </c>
      <c r="C51" s="3" t="s">
        <v>158</v>
      </c>
      <c r="D51" s="3" t="s">
        <v>159</v>
      </c>
      <c r="E51" s="3" t="s">
        <v>160</v>
      </c>
      <c r="F51" s="5" t="s">
        <v>4</v>
      </c>
      <c r="G51" s="6"/>
      <c r="H51" s="3"/>
      <c r="I51" s="3">
        <v>49.72</v>
      </c>
      <c r="J51" s="3">
        <v>3</v>
      </c>
      <c r="K51" s="3">
        <f t="shared" ref="K51:K58" si="3">H51*J51</f>
        <v>0</v>
      </c>
      <c r="L51" s="3">
        <f t="shared" si="2"/>
        <v>149.16</v>
      </c>
      <c r="M51" s="3"/>
      <c r="N51" s="11" t="s">
        <v>407</v>
      </c>
      <c r="O51" s="11"/>
      <c r="P51" s="3"/>
      <c r="Q51" s="3"/>
      <c r="R51" s="3"/>
      <c r="S51" s="3"/>
      <c r="T51" s="3"/>
    </row>
    <row r="52" spans="2:20">
      <c r="B52" s="4">
        <v>50</v>
      </c>
      <c r="C52" s="3" t="s">
        <v>164</v>
      </c>
      <c r="D52" s="3" t="s">
        <v>165</v>
      </c>
      <c r="E52" s="3" t="s">
        <v>166</v>
      </c>
      <c r="F52" s="5" t="s">
        <v>4</v>
      </c>
      <c r="G52" s="6"/>
      <c r="H52" s="3"/>
      <c r="I52" s="3">
        <v>67.78</v>
      </c>
      <c r="J52" s="3">
        <v>1</v>
      </c>
      <c r="K52" s="3">
        <f t="shared" si="3"/>
        <v>0</v>
      </c>
      <c r="L52" s="3">
        <f t="shared" si="2"/>
        <v>67.78</v>
      </c>
      <c r="M52" s="3"/>
      <c r="N52" s="11" t="s">
        <v>408</v>
      </c>
      <c r="O52" s="11"/>
      <c r="P52" s="3"/>
      <c r="Q52" s="3"/>
      <c r="R52" s="3"/>
      <c r="S52" s="3"/>
      <c r="T52" s="3"/>
    </row>
    <row r="53" spans="2:20">
      <c r="B53" s="4">
        <v>51</v>
      </c>
      <c r="C53" s="3" t="s">
        <v>167</v>
      </c>
      <c r="D53" s="3" t="s">
        <v>168</v>
      </c>
      <c r="E53" s="3" t="s">
        <v>169</v>
      </c>
      <c r="F53" s="5" t="s">
        <v>4</v>
      </c>
      <c r="G53" s="6"/>
      <c r="H53" s="3"/>
      <c r="I53" s="3">
        <v>82.35</v>
      </c>
      <c r="J53" s="3">
        <v>1</v>
      </c>
      <c r="K53" s="3">
        <f t="shared" si="3"/>
        <v>0</v>
      </c>
      <c r="L53" s="3">
        <f t="shared" si="2"/>
        <v>82.35</v>
      </c>
      <c r="M53" s="3"/>
      <c r="N53" s="11" t="s">
        <v>409</v>
      </c>
      <c r="O53" s="11"/>
      <c r="P53" s="3"/>
      <c r="Q53" s="3"/>
      <c r="R53" s="3"/>
      <c r="S53" s="3"/>
      <c r="T53" s="3"/>
    </row>
    <row r="54" spans="2:20">
      <c r="B54" s="4">
        <v>52</v>
      </c>
      <c r="C54" s="3" t="s">
        <v>170</v>
      </c>
      <c r="D54" s="3" t="s">
        <v>171</v>
      </c>
      <c r="E54" s="3" t="s">
        <v>172</v>
      </c>
      <c r="F54" s="5" t="s">
        <v>4</v>
      </c>
      <c r="G54" s="6"/>
      <c r="H54" s="3"/>
      <c r="I54" s="3">
        <v>33.33</v>
      </c>
      <c r="J54" s="3">
        <v>1</v>
      </c>
      <c r="K54" s="3">
        <f t="shared" si="3"/>
        <v>0</v>
      </c>
      <c r="L54" s="3">
        <f t="shared" si="2"/>
        <v>33.33</v>
      </c>
      <c r="M54" s="3"/>
      <c r="N54" s="11" t="s">
        <v>410</v>
      </c>
      <c r="O54" s="11"/>
      <c r="P54" s="3"/>
      <c r="Q54" s="3"/>
      <c r="R54" s="3"/>
      <c r="S54" s="3"/>
      <c r="T54" s="3"/>
    </row>
    <row r="55" spans="2:20">
      <c r="B55" s="4">
        <v>53</v>
      </c>
      <c r="C55" s="3" t="s">
        <v>173</v>
      </c>
      <c r="D55" s="3" t="s">
        <v>174</v>
      </c>
      <c r="E55" s="3" t="s">
        <v>175</v>
      </c>
      <c r="F55" s="5" t="s">
        <v>4</v>
      </c>
      <c r="G55" s="6"/>
      <c r="H55" s="3"/>
      <c r="I55" s="3">
        <v>62.86</v>
      </c>
      <c r="J55" s="3">
        <v>1</v>
      </c>
      <c r="K55" s="3">
        <f t="shared" si="3"/>
        <v>0</v>
      </c>
      <c r="L55" s="3">
        <f t="shared" si="2"/>
        <v>62.86</v>
      </c>
      <c r="M55" s="3"/>
      <c r="N55" s="11" t="s">
        <v>411</v>
      </c>
      <c r="O55" s="11"/>
      <c r="P55" s="3"/>
      <c r="Q55" s="3"/>
      <c r="R55" s="3"/>
      <c r="S55" s="3"/>
      <c r="T55" s="3"/>
    </row>
    <row r="56" spans="2:20">
      <c r="B56" s="4">
        <v>54</v>
      </c>
      <c r="C56" s="3" t="s">
        <v>176</v>
      </c>
      <c r="D56" s="3" t="s">
        <v>177</v>
      </c>
      <c r="E56" s="3" t="s">
        <v>178</v>
      </c>
      <c r="F56" s="5" t="s">
        <v>4</v>
      </c>
      <c r="G56" s="6"/>
      <c r="H56" s="3"/>
      <c r="I56" s="3">
        <v>28.54</v>
      </c>
      <c r="J56" s="3">
        <v>1</v>
      </c>
      <c r="K56" s="3">
        <f t="shared" si="3"/>
        <v>0</v>
      </c>
      <c r="L56" s="3">
        <f t="shared" si="2"/>
        <v>28.54</v>
      </c>
      <c r="M56" s="3"/>
      <c r="N56" s="11" t="s">
        <v>412</v>
      </c>
      <c r="O56" s="11"/>
      <c r="P56" s="3"/>
      <c r="Q56" s="3"/>
      <c r="R56" s="3"/>
      <c r="S56" s="3"/>
      <c r="T56" s="3"/>
    </row>
    <row r="57" spans="2:20">
      <c r="B57" s="4">
        <v>55</v>
      </c>
      <c r="C57" s="3" t="s">
        <v>179</v>
      </c>
      <c r="D57" s="3" t="s">
        <v>180</v>
      </c>
      <c r="E57" s="3" t="s">
        <v>181</v>
      </c>
      <c r="F57" s="5" t="s">
        <v>4</v>
      </c>
      <c r="G57" s="6"/>
      <c r="H57" s="3"/>
      <c r="I57" s="3">
        <v>4.22</v>
      </c>
      <c r="J57" s="3">
        <v>2</v>
      </c>
      <c r="K57" s="3">
        <f t="shared" si="3"/>
        <v>0</v>
      </c>
      <c r="L57" s="3">
        <f t="shared" si="2"/>
        <v>8.44</v>
      </c>
      <c r="M57" s="3"/>
      <c r="N57" s="11" t="s">
        <v>413</v>
      </c>
      <c r="O57" s="11"/>
      <c r="P57" s="3"/>
      <c r="Q57" s="3"/>
      <c r="R57" s="3"/>
      <c r="S57" s="3"/>
      <c r="T57" s="3"/>
    </row>
    <row r="58" spans="2:20">
      <c r="B58" s="4">
        <v>56</v>
      </c>
      <c r="C58" s="3" t="s">
        <v>182</v>
      </c>
      <c r="D58" s="3" t="s">
        <v>183</v>
      </c>
      <c r="E58" s="3" t="s">
        <v>184</v>
      </c>
      <c r="F58" s="5" t="s">
        <v>4</v>
      </c>
      <c r="G58" s="6"/>
      <c r="H58" s="3"/>
      <c r="I58" s="3">
        <v>2.58</v>
      </c>
      <c r="J58" s="3">
        <v>4</v>
      </c>
      <c r="K58" s="3">
        <f t="shared" si="3"/>
        <v>0</v>
      </c>
      <c r="L58" s="3">
        <f t="shared" si="2"/>
        <v>10.32</v>
      </c>
      <c r="M58" s="3"/>
      <c r="N58" s="11" t="s">
        <v>414</v>
      </c>
      <c r="O58" s="11"/>
      <c r="P58" s="3"/>
      <c r="Q58" s="3"/>
      <c r="R58" s="3"/>
      <c r="S58" s="3"/>
      <c r="T58" s="3"/>
    </row>
    <row r="59" spans="2:20">
      <c r="B59" s="4">
        <v>57</v>
      </c>
      <c r="C59" s="3" t="s">
        <v>317</v>
      </c>
      <c r="D59" s="3" t="s">
        <v>319</v>
      </c>
      <c r="E59" s="3" t="s">
        <v>318</v>
      </c>
      <c r="F59" s="5" t="s">
        <v>4</v>
      </c>
      <c r="G59" s="6"/>
      <c r="H59" s="3"/>
      <c r="I59" s="3">
        <v>40.98</v>
      </c>
      <c r="J59" s="3">
        <v>1</v>
      </c>
      <c r="K59" s="3">
        <f t="shared" ref="K59:K70" si="4">H59*J59</f>
        <v>0</v>
      </c>
      <c r="L59" s="3">
        <f t="shared" si="2"/>
        <v>40.98</v>
      </c>
      <c r="M59" s="3"/>
      <c r="N59" s="11" t="s">
        <v>415</v>
      </c>
      <c r="O59" s="11"/>
      <c r="P59" s="3"/>
      <c r="Q59" s="3"/>
      <c r="R59" s="3"/>
      <c r="S59" s="3"/>
      <c r="T59" s="3"/>
    </row>
    <row r="60" spans="2:20">
      <c r="B60" s="4">
        <v>58</v>
      </c>
      <c r="C60" s="3" t="s">
        <v>220</v>
      </c>
      <c r="D60" s="3" t="s">
        <v>221</v>
      </c>
      <c r="E60" s="3" t="s">
        <v>222</v>
      </c>
      <c r="F60" s="5" t="s">
        <v>4</v>
      </c>
      <c r="G60" s="6"/>
      <c r="H60" s="3"/>
      <c r="I60" s="3">
        <v>67.599999999999994</v>
      </c>
      <c r="J60" s="3">
        <v>1</v>
      </c>
      <c r="K60" s="3">
        <f t="shared" si="4"/>
        <v>0</v>
      </c>
      <c r="L60" s="3">
        <f t="shared" si="2"/>
        <v>67.599999999999994</v>
      </c>
      <c r="M60" s="3"/>
      <c r="N60" s="11" t="s">
        <v>416</v>
      </c>
      <c r="O60" s="11"/>
      <c r="P60" s="3"/>
      <c r="Q60" s="3"/>
      <c r="R60" s="3"/>
      <c r="S60" s="3"/>
      <c r="T60" s="3"/>
    </row>
    <row r="61" spans="2:20">
      <c r="B61" s="4">
        <v>59</v>
      </c>
      <c r="C61" s="3" t="s">
        <v>216</v>
      </c>
      <c r="D61" s="3" t="s">
        <v>217</v>
      </c>
      <c r="E61" s="3" t="s">
        <v>218</v>
      </c>
      <c r="F61" s="5" t="s">
        <v>4</v>
      </c>
      <c r="G61" s="6"/>
      <c r="H61" s="3"/>
      <c r="I61" s="3">
        <v>9.57</v>
      </c>
      <c r="J61" s="3">
        <v>5</v>
      </c>
      <c r="K61" s="3">
        <f t="shared" si="4"/>
        <v>0</v>
      </c>
      <c r="L61" s="3">
        <f t="shared" si="2"/>
        <v>47.85</v>
      </c>
      <c r="M61" s="3"/>
      <c r="N61" s="11" t="s">
        <v>417</v>
      </c>
      <c r="O61" s="11"/>
      <c r="P61" s="3"/>
      <c r="Q61" s="3"/>
      <c r="R61" s="3"/>
      <c r="S61" s="3"/>
      <c r="T61" s="3"/>
    </row>
    <row r="62" spans="2:20">
      <c r="B62" s="4">
        <v>60</v>
      </c>
      <c r="C62" s="3" t="s">
        <v>223</v>
      </c>
      <c r="D62" s="3" t="s">
        <v>224</v>
      </c>
      <c r="E62" s="3" t="s">
        <v>225</v>
      </c>
      <c r="F62" s="5" t="s">
        <v>4</v>
      </c>
      <c r="G62" s="6"/>
      <c r="H62" s="3"/>
      <c r="I62" s="3">
        <v>6.32</v>
      </c>
      <c r="J62" s="3">
        <v>2</v>
      </c>
      <c r="K62" s="3">
        <f t="shared" si="4"/>
        <v>0</v>
      </c>
      <c r="L62" s="3">
        <f t="shared" si="2"/>
        <v>12.64</v>
      </c>
      <c r="M62" s="3"/>
      <c r="N62" s="11" t="s">
        <v>418</v>
      </c>
      <c r="O62" s="11"/>
      <c r="P62" s="3"/>
      <c r="Q62" s="3"/>
      <c r="R62" s="3"/>
      <c r="S62" s="3"/>
      <c r="T62" s="3"/>
    </row>
    <row r="63" spans="2:20">
      <c r="B63" s="4">
        <v>61</v>
      </c>
      <c r="C63" s="3" t="s">
        <v>265</v>
      </c>
      <c r="D63" s="3"/>
      <c r="E63" s="3" t="s">
        <v>266</v>
      </c>
      <c r="F63" s="5" t="s">
        <v>4</v>
      </c>
      <c r="G63" s="3"/>
      <c r="H63" s="3"/>
      <c r="I63" s="3">
        <v>2.42</v>
      </c>
      <c r="J63" s="3">
        <v>2</v>
      </c>
      <c r="K63" s="3">
        <f t="shared" si="4"/>
        <v>0</v>
      </c>
      <c r="L63" s="3">
        <f t="shared" si="2"/>
        <v>4.84</v>
      </c>
      <c r="M63" s="3"/>
      <c r="N63" s="11" t="s">
        <v>419</v>
      </c>
      <c r="O63" s="11"/>
      <c r="P63" s="3"/>
      <c r="Q63" s="3"/>
      <c r="R63" s="3"/>
      <c r="S63" s="3"/>
      <c r="T63" s="3"/>
    </row>
    <row r="64" spans="2:20">
      <c r="B64" s="4">
        <v>62</v>
      </c>
      <c r="C64" s="3" t="s">
        <v>267</v>
      </c>
      <c r="D64" s="3"/>
      <c r="E64" s="3" t="s">
        <v>268</v>
      </c>
      <c r="F64" s="5" t="s">
        <v>4</v>
      </c>
      <c r="G64" s="3"/>
      <c r="H64" s="3"/>
      <c r="I64" s="3">
        <v>12.7</v>
      </c>
      <c r="J64" s="3">
        <v>1</v>
      </c>
      <c r="K64" s="3">
        <f t="shared" si="4"/>
        <v>0</v>
      </c>
      <c r="L64" s="3">
        <f t="shared" si="2"/>
        <v>12.7</v>
      </c>
      <c r="M64" s="3"/>
      <c r="N64" s="11" t="s">
        <v>420</v>
      </c>
      <c r="O64" s="11"/>
      <c r="P64" s="3"/>
      <c r="Q64" s="3"/>
      <c r="R64" s="3"/>
      <c r="S64" s="3"/>
      <c r="T64" s="3"/>
    </row>
    <row r="65" spans="2:20">
      <c r="B65" s="4">
        <v>63</v>
      </c>
      <c r="C65" s="3" t="s">
        <v>269</v>
      </c>
      <c r="D65" s="3" t="s">
        <v>270</v>
      </c>
      <c r="E65" s="3" t="s">
        <v>271</v>
      </c>
      <c r="F65" s="5" t="s">
        <v>4</v>
      </c>
      <c r="G65" s="3"/>
      <c r="H65" s="3"/>
      <c r="I65" s="3">
        <v>1.94</v>
      </c>
      <c r="J65" s="3">
        <v>10</v>
      </c>
      <c r="K65" s="3">
        <f t="shared" si="4"/>
        <v>0</v>
      </c>
      <c r="L65" s="3">
        <f t="shared" si="2"/>
        <v>19.399999999999999</v>
      </c>
      <c r="M65" s="3"/>
      <c r="N65" s="11" t="s">
        <v>421</v>
      </c>
      <c r="O65" s="11"/>
      <c r="P65" s="3"/>
      <c r="Q65" s="3"/>
      <c r="R65" s="3"/>
      <c r="S65" s="3"/>
      <c r="T65" s="3"/>
    </row>
    <row r="66" spans="2:20">
      <c r="B66" s="4">
        <v>64</v>
      </c>
      <c r="C66" s="3" t="s">
        <v>272</v>
      </c>
      <c r="D66" s="3" t="s">
        <v>273</v>
      </c>
      <c r="E66" s="3" t="s">
        <v>274</v>
      </c>
      <c r="F66" s="5" t="s">
        <v>4</v>
      </c>
      <c r="G66" s="3"/>
      <c r="H66" s="3"/>
      <c r="I66" s="3">
        <v>1.33</v>
      </c>
      <c r="J66" s="3">
        <v>20</v>
      </c>
      <c r="K66" s="3">
        <f t="shared" si="4"/>
        <v>0</v>
      </c>
      <c r="L66" s="3">
        <f t="shared" si="2"/>
        <v>26.6</v>
      </c>
      <c r="M66" s="3"/>
      <c r="N66" s="11" t="s">
        <v>422</v>
      </c>
      <c r="O66" s="11"/>
      <c r="P66" s="3"/>
      <c r="Q66" s="3"/>
      <c r="R66" s="3"/>
      <c r="S66" s="3"/>
      <c r="T66" s="3"/>
    </row>
    <row r="67" spans="2:20">
      <c r="B67" s="4">
        <v>65</v>
      </c>
      <c r="C67" s="3" t="s">
        <v>275</v>
      </c>
      <c r="D67" s="3" t="s">
        <v>276</v>
      </c>
      <c r="E67" s="3" t="s">
        <v>277</v>
      </c>
      <c r="F67" s="5" t="s">
        <v>4</v>
      </c>
      <c r="G67" s="3"/>
      <c r="H67" s="3"/>
      <c r="I67" s="3">
        <v>4.38</v>
      </c>
      <c r="J67" s="3">
        <v>6</v>
      </c>
      <c r="K67" s="3">
        <f t="shared" si="4"/>
        <v>0</v>
      </c>
      <c r="L67" s="3">
        <f t="shared" si="2"/>
        <v>26.28</v>
      </c>
      <c r="M67" s="3"/>
      <c r="N67" s="11" t="s">
        <v>423</v>
      </c>
      <c r="O67" s="11"/>
      <c r="P67" s="3"/>
      <c r="Q67" s="3"/>
      <c r="R67" s="3"/>
      <c r="S67" s="3"/>
      <c r="T67" s="3"/>
    </row>
    <row r="68" spans="2:20">
      <c r="B68" s="4">
        <v>66</v>
      </c>
      <c r="C68" s="3" t="s">
        <v>278</v>
      </c>
      <c r="D68" s="3"/>
      <c r="E68" s="3" t="s">
        <v>279</v>
      </c>
      <c r="F68" s="5" t="s">
        <v>4</v>
      </c>
      <c r="G68" s="3"/>
      <c r="H68" s="3"/>
      <c r="I68" s="3">
        <v>1.05</v>
      </c>
      <c r="J68" s="3">
        <v>6</v>
      </c>
      <c r="K68" s="3">
        <f t="shared" si="4"/>
        <v>0</v>
      </c>
      <c r="L68" s="3">
        <f t="shared" si="2"/>
        <v>6.3000000000000007</v>
      </c>
      <c r="M68" s="3"/>
      <c r="N68" s="11" t="s">
        <v>424</v>
      </c>
      <c r="O68" s="11"/>
      <c r="P68" s="3"/>
      <c r="Q68" s="3"/>
      <c r="R68" s="3"/>
      <c r="S68" s="3"/>
      <c r="T68" s="3"/>
    </row>
    <row r="69" spans="2:20">
      <c r="B69" s="4">
        <v>67</v>
      </c>
      <c r="C69" s="3" t="s">
        <v>280</v>
      </c>
      <c r="D69" s="3"/>
      <c r="E69" s="3" t="s">
        <v>281</v>
      </c>
      <c r="F69" s="5" t="s">
        <v>4</v>
      </c>
      <c r="G69" s="3"/>
      <c r="H69" s="3"/>
      <c r="I69" s="3">
        <v>1.05</v>
      </c>
      <c r="J69" s="3">
        <v>6</v>
      </c>
      <c r="K69" s="3">
        <f t="shared" si="4"/>
        <v>0</v>
      </c>
      <c r="L69" s="3">
        <f t="shared" si="2"/>
        <v>6.3000000000000007</v>
      </c>
      <c r="M69" s="3"/>
      <c r="N69" s="11" t="s">
        <v>425</v>
      </c>
      <c r="O69" s="11"/>
      <c r="P69" s="3"/>
      <c r="Q69" s="3"/>
      <c r="R69" s="3"/>
      <c r="S69" s="3"/>
      <c r="T69" s="3"/>
    </row>
    <row r="70" spans="2:20">
      <c r="B70" s="4">
        <v>68</v>
      </c>
      <c r="C70" s="3" t="s">
        <v>282</v>
      </c>
      <c r="D70" s="3"/>
      <c r="E70" s="3" t="s">
        <v>283</v>
      </c>
      <c r="F70" s="5" t="s">
        <v>4</v>
      </c>
      <c r="G70" s="3"/>
      <c r="H70" s="3"/>
      <c r="I70" s="3">
        <v>10.14</v>
      </c>
      <c r="J70" s="3">
        <v>1</v>
      </c>
      <c r="K70" s="3">
        <f t="shared" si="4"/>
        <v>0</v>
      </c>
      <c r="L70" s="3">
        <f t="shared" si="2"/>
        <v>10.14</v>
      </c>
      <c r="M70" s="3"/>
      <c r="N70" s="11" t="s">
        <v>426</v>
      </c>
      <c r="O70" s="11"/>
      <c r="P70" s="3"/>
      <c r="Q70" s="3"/>
      <c r="R70" s="3"/>
      <c r="S70" s="3"/>
      <c r="T70" s="3"/>
    </row>
    <row r="72" spans="2:20">
      <c r="B72" s="4">
        <v>69</v>
      </c>
      <c r="C72" s="3" t="s">
        <v>85</v>
      </c>
      <c r="D72" s="3" t="s">
        <v>86</v>
      </c>
      <c r="E72" s="3" t="s">
        <v>87</v>
      </c>
      <c r="F72" s="5" t="s">
        <v>4</v>
      </c>
      <c r="G72" s="6"/>
      <c r="H72" s="3">
        <v>10.71</v>
      </c>
      <c r="I72" s="3">
        <v>12.75</v>
      </c>
      <c r="J72" s="3">
        <v>8</v>
      </c>
      <c r="K72" s="3">
        <f t="shared" ref="K72:K82" si="5">H72*J72</f>
        <v>85.68</v>
      </c>
      <c r="L72" s="9">
        <f t="shared" ref="L72:L82" si="6">I72*J72</f>
        <v>102</v>
      </c>
      <c r="M72" s="3"/>
      <c r="N72" s="11" t="s">
        <v>427</v>
      </c>
      <c r="O72" s="13" t="s">
        <v>297</v>
      </c>
      <c r="P72" s="3"/>
      <c r="Q72" s="3"/>
      <c r="R72" s="3"/>
      <c r="S72" s="3"/>
      <c r="T72" s="3"/>
    </row>
    <row r="73" spans="2:20">
      <c r="B73" s="4">
        <v>70</v>
      </c>
      <c r="C73" s="3" t="s">
        <v>195</v>
      </c>
      <c r="D73" s="3" t="s">
        <v>196</v>
      </c>
      <c r="E73" s="3" t="s">
        <v>314</v>
      </c>
      <c r="F73" s="5" t="s">
        <v>4</v>
      </c>
      <c r="G73" s="6"/>
      <c r="H73" s="3">
        <v>67.86</v>
      </c>
      <c r="I73" s="3">
        <v>80.75</v>
      </c>
      <c r="J73" s="3">
        <v>1</v>
      </c>
      <c r="K73" s="3">
        <f t="shared" si="5"/>
        <v>67.86</v>
      </c>
      <c r="L73" s="3">
        <f t="shared" si="6"/>
        <v>80.75</v>
      </c>
      <c r="M73" s="3"/>
      <c r="N73" s="11" t="s">
        <v>428</v>
      </c>
      <c r="O73" s="11"/>
      <c r="P73" s="3"/>
      <c r="Q73" s="3"/>
      <c r="R73" s="3"/>
      <c r="S73" s="3"/>
      <c r="T73" s="3"/>
    </row>
    <row r="74" spans="2:20">
      <c r="B74" s="4">
        <v>71</v>
      </c>
      <c r="C74" s="3" t="s">
        <v>197</v>
      </c>
      <c r="D74" s="3" t="s">
        <v>198</v>
      </c>
      <c r="E74" s="3" t="s">
        <v>199</v>
      </c>
      <c r="F74" s="5" t="s">
        <v>4</v>
      </c>
      <c r="G74" s="6"/>
      <c r="H74" s="3">
        <v>125</v>
      </c>
      <c r="I74" s="3">
        <v>148.75</v>
      </c>
      <c r="J74" s="3">
        <v>1</v>
      </c>
      <c r="K74" s="3">
        <f t="shared" si="5"/>
        <v>125</v>
      </c>
      <c r="L74" s="3">
        <f t="shared" si="6"/>
        <v>148.75</v>
      </c>
      <c r="M74" s="3"/>
      <c r="N74" s="11" t="s">
        <v>429</v>
      </c>
      <c r="O74" s="11"/>
      <c r="P74" s="3"/>
      <c r="Q74" s="3"/>
      <c r="R74" s="3"/>
      <c r="S74" s="3"/>
      <c r="T74" s="3"/>
    </row>
    <row r="75" spans="2:20">
      <c r="B75" s="4">
        <v>72</v>
      </c>
      <c r="C75" s="3" t="s">
        <v>200</v>
      </c>
      <c r="D75" s="3" t="s">
        <v>201</v>
      </c>
      <c r="E75" s="3" t="s">
        <v>202</v>
      </c>
      <c r="F75" s="5" t="s">
        <v>4</v>
      </c>
      <c r="G75" s="6"/>
      <c r="H75" s="3">
        <v>25</v>
      </c>
      <c r="I75" s="3">
        <v>29.75</v>
      </c>
      <c r="J75" s="3">
        <v>1</v>
      </c>
      <c r="K75" s="3">
        <f t="shared" si="5"/>
        <v>25</v>
      </c>
      <c r="L75" s="3">
        <f t="shared" si="6"/>
        <v>29.75</v>
      </c>
      <c r="M75" s="3"/>
      <c r="N75" s="11" t="s">
        <v>430</v>
      </c>
      <c r="O75" s="11"/>
      <c r="P75" s="3"/>
      <c r="Q75" s="3"/>
      <c r="R75" s="3"/>
      <c r="S75" s="3"/>
      <c r="T75" s="3"/>
    </row>
    <row r="76" spans="2:20">
      <c r="B76" s="4">
        <v>73</v>
      </c>
      <c r="C76" s="3" t="s">
        <v>203</v>
      </c>
      <c r="D76" s="3" t="s">
        <v>204</v>
      </c>
      <c r="E76" s="3" t="s">
        <v>205</v>
      </c>
      <c r="F76" s="5" t="s">
        <v>4</v>
      </c>
      <c r="G76" s="6"/>
      <c r="H76" s="3">
        <v>17.86</v>
      </c>
      <c r="I76" s="3">
        <v>21.25</v>
      </c>
      <c r="J76" s="3">
        <v>1</v>
      </c>
      <c r="K76" s="3">
        <f t="shared" si="5"/>
        <v>17.86</v>
      </c>
      <c r="L76" s="3">
        <f t="shared" si="6"/>
        <v>21.25</v>
      </c>
      <c r="M76" s="3"/>
      <c r="N76" s="11" t="s">
        <v>431</v>
      </c>
      <c r="O76" s="11"/>
      <c r="P76" s="3"/>
      <c r="Q76" s="3"/>
      <c r="R76" s="3"/>
      <c r="S76" s="3"/>
      <c r="T76" s="3"/>
    </row>
    <row r="77" spans="2:20">
      <c r="B77" s="4">
        <v>74</v>
      </c>
      <c r="C77" s="3" t="s">
        <v>206</v>
      </c>
      <c r="D77" s="3" t="s">
        <v>207</v>
      </c>
      <c r="E77" s="3" t="s">
        <v>208</v>
      </c>
      <c r="F77" s="5" t="s">
        <v>4</v>
      </c>
      <c r="G77" s="6"/>
      <c r="H77" s="3">
        <v>114.29</v>
      </c>
      <c r="I77" s="3">
        <v>136</v>
      </c>
      <c r="J77" s="3">
        <v>1</v>
      </c>
      <c r="K77" s="3">
        <f t="shared" si="5"/>
        <v>114.29</v>
      </c>
      <c r="L77" s="3">
        <f t="shared" si="6"/>
        <v>136</v>
      </c>
      <c r="M77" s="3"/>
      <c r="N77" s="11" t="s">
        <v>432</v>
      </c>
      <c r="O77" s="11"/>
      <c r="P77" s="3"/>
      <c r="Q77" s="3"/>
      <c r="R77" s="3"/>
      <c r="S77" s="3"/>
      <c r="T77" s="3"/>
    </row>
    <row r="78" spans="2:20">
      <c r="B78" s="4">
        <v>75</v>
      </c>
      <c r="C78" s="3" t="s">
        <v>311</v>
      </c>
      <c r="D78" s="3"/>
      <c r="E78" s="3" t="s">
        <v>310</v>
      </c>
      <c r="F78" s="5" t="s">
        <v>4</v>
      </c>
      <c r="G78" s="3"/>
      <c r="H78" s="3">
        <v>178.57</v>
      </c>
      <c r="I78" s="3">
        <v>212.5</v>
      </c>
      <c r="J78" s="3">
        <v>1</v>
      </c>
      <c r="K78" s="3">
        <f t="shared" si="5"/>
        <v>178.57</v>
      </c>
      <c r="L78" s="3">
        <f t="shared" si="6"/>
        <v>212.5</v>
      </c>
      <c r="M78" s="3"/>
      <c r="N78" s="11" t="s">
        <v>433</v>
      </c>
      <c r="O78" s="11"/>
      <c r="P78" s="3"/>
      <c r="Q78" s="3"/>
      <c r="R78" s="3"/>
      <c r="S78" s="3"/>
      <c r="T78" s="3"/>
    </row>
    <row r="79" spans="2:20">
      <c r="B79" s="4">
        <v>76</v>
      </c>
      <c r="C79" s="3" t="s">
        <v>209</v>
      </c>
      <c r="D79" s="3" t="s">
        <v>109</v>
      </c>
      <c r="E79" s="3" t="s">
        <v>210</v>
      </c>
      <c r="F79" s="5" t="s">
        <v>4</v>
      </c>
      <c r="G79" s="6"/>
      <c r="H79" s="3">
        <v>89.29</v>
      </c>
      <c r="I79" s="3">
        <v>106.25</v>
      </c>
      <c r="J79" s="3">
        <v>1</v>
      </c>
      <c r="K79" s="3">
        <f t="shared" si="5"/>
        <v>89.29</v>
      </c>
      <c r="L79" s="3">
        <f t="shared" si="6"/>
        <v>106.25</v>
      </c>
      <c r="M79" s="3"/>
      <c r="N79" s="11" t="s">
        <v>434</v>
      </c>
      <c r="O79" s="11"/>
      <c r="P79" s="3"/>
      <c r="Q79" s="3"/>
      <c r="R79" s="3"/>
      <c r="S79" s="3"/>
      <c r="T79" s="3"/>
    </row>
    <row r="80" spans="2:20">
      <c r="B80" s="4">
        <v>77</v>
      </c>
      <c r="C80" s="3" t="s">
        <v>214</v>
      </c>
      <c r="D80" s="3" t="s">
        <v>159</v>
      </c>
      <c r="E80" s="3" t="s">
        <v>215</v>
      </c>
      <c r="F80" s="5" t="s">
        <v>4</v>
      </c>
      <c r="G80" s="6"/>
      <c r="H80" s="3">
        <v>3.57</v>
      </c>
      <c r="I80" s="3">
        <v>4.25</v>
      </c>
      <c r="J80" s="3">
        <v>4</v>
      </c>
      <c r="K80" s="3">
        <f t="shared" si="5"/>
        <v>14.28</v>
      </c>
      <c r="L80" s="3">
        <f t="shared" si="6"/>
        <v>17</v>
      </c>
      <c r="M80" s="3"/>
      <c r="N80" s="11" t="s">
        <v>435</v>
      </c>
      <c r="O80" s="11"/>
      <c r="P80" s="3"/>
      <c r="Q80" s="3"/>
      <c r="R80" s="3"/>
      <c r="S80" s="3"/>
      <c r="T80" s="3"/>
    </row>
    <row r="81" spans="2:20">
      <c r="B81" s="4">
        <v>78</v>
      </c>
      <c r="C81" s="3" t="s">
        <v>287</v>
      </c>
      <c r="D81" s="3" t="s">
        <v>288</v>
      </c>
      <c r="E81" s="3" t="s">
        <v>289</v>
      </c>
      <c r="F81" s="5" t="s">
        <v>286</v>
      </c>
      <c r="G81" s="3"/>
      <c r="H81" s="3">
        <v>196.43</v>
      </c>
      <c r="I81" s="3">
        <v>233.75</v>
      </c>
      <c r="J81" s="3">
        <v>1</v>
      </c>
      <c r="K81" s="3">
        <f t="shared" si="5"/>
        <v>196.43</v>
      </c>
      <c r="L81" s="3">
        <f t="shared" si="6"/>
        <v>233.75</v>
      </c>
      <c r="M81" s="3"/>
      <c r="N81" s="11" t="s">
        <v>436</v>
      </c>
      <c r="O81" s="13" t="s">
        <v>297</v>
      </c>
      <c r="P81" s="3"/>
      <c r="Q81" s="3"/>
      <c r="R81" s="3"/>
      <c r="S81" s="3"/>
      <c r="T81" s="3"/>
    </row>
    <row r="82" spans="2:20">
      <c r="B82" s="4">
        <v>79</v>
      </c>
      <c r="C82" s="3" t="s">
        <v>290</v>
      </c>
      <c r="D82" s="3" t="s">
        <v>291</v>
      </c>
      <c r="E82" s="3" t="s">
        <v>292</v>
      </c>
      <c r="F82" s="5" t="s">
        <v>286</v>
      </c>
      <c r="G82" s="3"/>
      <c r="H82" s="3">
        <v>125</v>
      </c>
      <c r="I82" s="3">
        <v>148.75</v>
      </c>
      <c r="J82" s="3">
        <v>1</v>
      </c>
      <c r="K82" s="3">
        <f t="shared" si="5"/>
        <v>125</v>
      </c>
      <c r="L82" s="3">
        <f t="shared" si="6"/>
        <v>148.75</v>
      </c>
      <c r="M82" s="3"/>
      <c r="N82" s="11" t="s">
        <v>437</v>
      </c>
      <c r="O82" s="13" t="s">
        <v>297</v>
      </c>
      <c r="P82" s="3"/>
      <c r="Q82" s="3"/>
      <c r="R82" s="3"/>
      <c r="S82" s="3"/>
      <c r="T82" s="3"/>
    </row>
    <row r="84" spans="2:20">
      <c r="B84" s="4">
        <v>80</v>
      </c>
      <c r="C84" s="3" t="s">
        <v>231</v>
      </c>
      <c r="D84" s="3" t="s">
        <v>232</v>
      </c>
      <c r="E84" s="3" t="s">
        <v>233</v>
      </c>
      <c r="F84" s="5" t="s">
        <v>4</v>
      </c>
      <c r="G84" s="6"/>
      <c r="H84" s="3"/>
      <c r="I84" s="3">
        <v>27.2</v>
      </c>
      <c r="J84" s="3">
        <v>1</v>
      </c>
      <c r="K84" s="3">
        <f t="shared" ref="K84:K94" si="7">H84*J84</f>
        <v>0</v>
      </c>
      <c r="L84" s="3">
        <f t="shared" ref="L84:L95" si="8">I84*J84</f>
        <v>27.2</v>
      </c>
      <c r="M84" s="3"/>
      <c r="N84" s="11" t="s">
        <v>438</v>
      </c>
      <c r="O84" s="11"/>
      <c r="P84" s="3"/>
      <c r="Q84" s="3"/>
      <c r="R84" s="3"/>
      <c r="S84" s="3"/>
      <c r="T84" s="3"/>
    </row>
    <row r="85" spans="2:20">
      <c r="B85" s="4">
        <v>81</v>
      </c>
      <c r="C85" s="3" t="s">
        <v>242</v>
      </c>
      <c r="D85" s="3" t="s">
        <v>243</v>
      </c>
      <c r="E85" s="3" t="s">
        <v>244</v>
      </c>
      <c r="F85" s="5" t="s">
        <v>4</v>
      </c>
      <c r="G85" s="3"/>
      <c r="H85" s="3"/>
      <c r="I85" s="3">
        <v>10.5</v>
      </c>
      <c r="J85" s="3">
        <v>2</v>
      </c>
      <c r="K85" s="3">
        <f t="shared" si="7"/>
        <v>0</v>
      </c>
      <c r="L85" s="3">
        <f t="shared" si="8"/>
        <v>21</v>
      </c>
      <c r="M85" s="3"/>
      <c r="N85" s="11" t="s">
        <v>439</v>
      </c>
      <c r="O85" s="11"/>
      <c r="P85" s="3"/>
      <c r="Q85" s="3"/>
      <c r="R85" s="3"/>
      <c r="S85" s="3"/>
      <c r="T85" s="3"/>
    </row>
    <row r="86" spans="2:20">
      <c r="B86" s="4">
        <v>82</v>
      </c>
      <c r="C86" s="3" t="s">
        <v>245</v>
      </c>
      <c r="D86" s="3" t="s">
        <v>246</v>
      </c>
      <c r="E86" s="3" t="s">
        <v>247</v>
      </c>
      <c r="F86" s="5" t="s">
        <v>4</v>
      </c>
      <c r="G86" s="3"/>
      <c r="H86" s="3"/>
      <c r="I86" s="3">
        <v>14.7</v>
      </c>
      <c r="J86" s="3">
        <v>1</v>
      </c>
      <c r="K86" s="3">
        <f t="shared" si="7"/>
        <v>0</v>
      </c>
      <c r="L86" s="3">
        <f t="shared" si="8"/>
        <v>14.7</v>
      </c>
      <c r="M86" s="3"/>
      <c r="N86" s="11" t="s">
        <v>440</v>
      </c>
      <c r="O86" s="11"/>
      <c r="P86" s="3"/>
      <c r="Q86" s="3"/>
      <c r="R86" s="3"/>
      <c r="S86" s="3"/>
      <c r="T86" s="3"/>
    </row>
    <row r="87" spans="2:20">
      <c r="B87" s="4">
        <v>83</v>
      </c>
      <c r="C87" s="3" t="s">
        <v>248</v>
      </c>
      <c r="D87" s="3" t="s">
        <v>249</v>
      </c>
      <c r="E87" s="3" t="s">
        <v>250</v>
      </c>
      <c r="F87" s="5" t="s">
        <v>4</v>
      </c>
      <c r="G87" s="3"/>
      <c r="H87" s="3"/>
      <c r="I87" s="3">
        <v>25.3</v>
      </c>
      <c r="J87" s="3">
        <v>1</v>
      </c>
      <c r="K87" s="3">
        <f t="shared" si="7"/>
        <v>0</v>
      </c>
      <c r="L87" s="3">
        <f t="shared" si="8"/>
        <v>25.3</v>
      </c>
      <c r="M87" s="3"/>
      <c r="N87" s="11" t="s">
        <v>441</v>
      </c>
      <c r="O87" s="11"/>
      <c r="P87" s="3"/>
      <c r="Q87" s="3"/>
      <c r="R87" s="3"/>
      <c r="S87" s="3"/>
      <c r="T87" s="3"/>
    </row>
    <row r="88" spans="2:20">
      <c r="B88" s="4">
        <v>84</v>
      </c>
      <c r="C88" s="3" t="s">
        <v>251</v>
      </c>
      <c r="D88" s="3" t="s">
        <v>252</v>
      </c>
      <c r="E88" s="3" t="s">
        <v>253</v>
      </c>
      <c r="F88" s="5" t="s">
        <v>4</v>
      </c>
      <c r="G88" s="3"/>
      <c r="H88" s="3"/>
      <c r="I88" s="3">
        <v>31.3</v>
      </c>
      <c r="J88" s="3">
        <v>1</v>
      </c>
      <c r="K88" s="3">
        <f t="shared" si="7"/>
        <v>0</v>
      </c>
      <c r="L88" s="3">
        <f t="shared" si="8"/>
        <v>31.3</v>
      </c>
      <c r="M88" s="3"/>
      <c r="N88" s="11" t="s">
        <v>442</v>
      </c>
      <c r="O88" s="11"/>
      <c r="P88" s="3"/>
      <c r="Q88" s="3"/>
      <c r="R88" s="3"/>
      <c r="S88" s="3"/>
      <c r="T88" s="3"/>
    </row>
    <row r="89" spans="2:20">
      <c r="B89" s="4">
        <v>85</v>
      </c>
      <c r="C89" s="3" t="s">
        <v>254</v>
      </c>
      <c r="D89" s="3" t="s">
        <v>255</v>
      </c>
      <c r="E89" s="3" t="s">
        <v>256</v>
      </c>
      <c r="F89" s="5" t="s">
        <v>4</v>
      </c>
      <c r="G89" s="3"/>
      <c r="H89" s="3"/>
      <c r="I89" s="3">
        <v>22.4</v>
      </c>
      <c r="J89" s="3">
        <v>1</v>
      </c>
      <c r="K89" s="3">
        <f t="shared" si="7"/>
        <v>0</v>
      </c>
      <c r="L89" s="3">
        <f t="shared" si="8"/>
        <v>22.4</v>
      </c>
      <c r="M89" s="3"/>
      <c r="N89" s="11" t="s">
        <v>443</v>
      </c>
      <c r="O89" s="11"/>
      <c r="P89" s="3"/>
      <c r="Q89" s="3"/>
      <c r="R89" s="3"/>
      <c r="S89" s="3"/>
      <c r="T89" s="3"/>
    </row>
    <row r="90" spans="2:20">
      <c r="B90" s="4">
        <v>86</v>
      </c>
      <c r="C90" s="3" t="s">
        <v>257</v>
      </c>
      <c r="D90" s="3" t="s">
        <v>258</v>
      </c>
      <c r="E90" s="3" t="s">
        <v>259</v>
      </c>
      <c r="F90" s="5" t="s">
        <v>4</v>
      </c>
      <c r="G90" s="3"/>
      <c r="H90" s="3"/>
      <c r="I90" s="3">
        <v>1</v>
      </c>
      <c r="J90" s="3">
        <v>40</v>
      </c>
      <c r="K90" s="3">
        <f t="shared" si="7"/>
        <v>0</v>
      </c>
      <c r="L90" s="3">
        <f t="shared" si="8"/>
        <v>40</v>
      </c>
      <c r="M90" s="3"/>
      <c r="N90" s="11" t="s">
        <v>444</v>
      </c>
      <c r="O90" s="11"/>
      <c r="P90" s="3"/>
      <c r="Q90" s="3"/>
      <c r="R90" s="3"/>
      <c r="S90" s="3"/>
      <c r="T90" s="3"/>
    </row>
    <row r="91" spans="2:20">
      <c r="B91" s="4">
        <v>87</v>
      </c>
      <c r="C91" s="3" t="s">
        <v>260</v>
      </c>
      <c r="D91" s="3" t="s">
        <v>261</v>
      </c>
      <c r="E91" s="3" t="s">
        <v>262</v>
      </c>
      <c r="F91" s="5" t="s">
        <v>4</v>
      </c>
      <c r="G91" s="3"/>
      <c r="H91" s="3"/>
      <c r="I91" s="3">
        <v>4.8</v>
      </c>
      <c r="J91" s="3">
        <v>2</v>
      </c>
      <c r="K91" s="3">
        <f t="shared" si="7"/>
        <v>0</v>
      </c>
      <c r="L91" s="3">
        <f t="shared" si="8"/>
        <v>9.6</v>
      </c>
      <c r="M91" s="3"/>
      <c r="N91" s="11" t="s">
        <v>445</v>
      </c>
      <c r="O91" s="11"/>
      <c r="P91" s="3"/>
      <c r="Q91" s="3"/>
      <c r="R91" s="3"/>
      <c r="S91" s="3"/>
      <c r="T91" s="3"/>
    </row>
    <row r="92" spans="2:20">
      <c r="B92" s="4">
        <v>88</v>
      </c>
      <c r="C92" s="3" t="s">
        <v>263</v>
      </c>
      <c r="D92" s="3" t="s">
        <v>261</v>
      </c>
      <c r="E92" s="3" t="s">
        <v>264</v>
      </c>
      <c r="F92" s="5" t="s">
        <v>4</v>
      </c>
      <c r="G92" s="3"/>
      <c r="H92" s="3"/>
      <c r="I92" s="3">
        <v>4.9000000000000004</v>
      </c>
      <c r="J92" s="3">
        <v>3</v>
      </c>
      <c r="K92" s="3">
        <f t="shared" si="7"/>
        <v>0</v>
      </c>
      <c r="L92" s="3">
        <f t="shared" si="8"/>
        <v>14.700000000000001</v>
      </c>
      <c r="M92" s="3"/>
      <c r="N92" s="11" t="s">
        <v>446</v>
      </c>
      <c r="O92" s="11"/>
      <c r="P92" s="3"/>
      <c r="Q92" s="3"/>
      <c r="R92" s="3"/>
      <c r="S92" s="3"/>
      <c r="T92" s="3"/>
    </row>
    <row r="93" spans="2:20">
      <c r="B93" s="4">
        <v>89</v>
      </c>
      <c r="C93" s="3" t="s">
        <v>454</v>
      </c>
      <c r="D93" s="3" t="s">
        <v>455</v>
      </c>
      <c r="E93" s="3" t="s">
        <v>456</v>
      </c>
      <c r="F93" s="5" t="s">
        <v>4</v>
      </c>
      <c r="G93" s="3"/>
      <c r="H93" s="3"/>
      <c r="I93" s="3">
        <v>7.84</v>
      </c>
      <c r="J93" s="3">
        <v>5</v>
      </c>
      <c r="K93" s="3">
        <f t="shared" si="7"/>
        <v>0</v>
      </c>
      <c r="L93" s="3">
        <f t="shared" si="8"/>
        <v>39.200000000000003</v>
      </c>
      <c r="M93" s="3"/>
      <c r="N93" s="11" t="s">
        <v>457</v>
      </c>
      <c r="O93" s="11"/>
      <c r="P93" s="3"/>
      <c r="Q93" s="3"/>
      <c r="R93" s="3"/>
      <c r="S93" s="3"/>
      <c r="T93" s="3"/>
    </row>
    <row r="94" spans="2:20">
      <c r="B94" s="4">
        <v>90</v>
      </c>
      <c r="C94" s="3" t="s">
        <v>459</v>
      </c>
      <c r="D94" s="3" t="s">
        <v>460</v>
      </c>
      <c r="E94" s="3" t="s">
        <v>461</v>
      </c>
      <c r="F94" s="5" t="s">
        <v>4</v>
      </c>
      <c r="G94" s="3"/>
      <c r="H94" s="3"/>
      <c r="I94" s="3">
        <v>41.95</v>
      </c>
      <c r="J94" s="3">
        <v>1</v>
      </c>
      <c r="K94" s="3"/>
      <c r="L94" s="3">
        <f t="shared" si="8"/>
        <v>41.95</v>
      </c>
      <c r="M94" s="3"/>
      <c r="N94" s="11" t="s">
        <v>462</v>
      </c>
      <c r="O94" s="11"/>
      <c r="P94" s="3"/>
      <c r="Q94" s="3"/>
      <c r="R94" s="3"/>
      <c r="S94" s="3"/>
      <c r="T94" s="3"/>
    </row>
    <row r="95" spans="2:20">
      <c r="B95" s="4">
        <v>91</v>
      </c>
      <c r="C95" s="3" t="s">
        <v>463</v>
      </c>
      <c r="D95" s="3" t="s">
        <v>460</v>
      </c>
      <c r="E95" s="3" t="s">
        <v>464</v>
      </c>
      <c r="F95" s="5" t="s">
        <v>4</v>
      </c>
      <c r="G95" s="3"/>
      <c r="H95" s="3"/>
      <c r="I95" s="3">
        <v>52</v>
      </c>
      <c r="J95" s="3">
        <v>1</v>
      </c>
      <c r="K95" s="3"/>
      <c r="L95" s="3">
        <f t="shared" si="8"/>
        <v>52</v>
      </c>
      <c r="M95" s="3"/>
      <c r="N95" s="11" t="s">
        <v>465</v>
      </c>
      <c r="O95" s="11"/>
      <c r="P95" s="3"/>
      <c r="Q95" s="3"/>
      <c r="R95" s="3"/>
      <c r="S95" s="3"/>
      <c r="T95" s="3"/>
    </row>
    <row r="97" spans="2:20">
      <c r="B97" s="4">
        <v>92</v>
      </c>
      <c r="C97" s="3" t="s">
        <v>82</v>
      </c>
      <c r="D97" s="3" t="s">
        <v>83</v>
      </c>
      <c r="E97" s="3" t="s">
        <v>84</v>
      </c>
      <c r="F97" s="5" t="s">
        <v>4</v>
      </c>
      <c r="G97" s="6"/>
      <c r="H97" s="3"/>
      <c r="I97" s="3">
        <v>15.99</v>
      </c>
      <c r="J97" s="3">
        <v>3</v>
      </c>
      <c r="K97" s="3">
        <f>H97*J97</f>
        <v>0</v>
      </c>
      <c r="L97" s="3">
        <f>I97*J97</f>
        <v>47.97</v>
      </c>
      <c r="M97" s="3"/>
      <c r="N97" s="11" t="s">
        <v>81</v>
      </c>
      <c r="O97" s="13"/>
      <c r="P97" s="3"/>
      <c r="Q97" s="3"/>
      <c r="R97" s="3"/>
      <c r="S97" s="3"/>
      <c r="T97" s="3"/>
    </row>
    <row r="98" spans="2:20">
      <c r="B98" s="4">
        <v>93</v>
      </c>
      <c r="C98" s="3" t="s">
        <v>238</v>
      </c>
      <c r="D98" s="3" t="s">
        <v>239</v>
      </c>
      <c r="E98" s="3" t="s">
        <v>240</v>
      </c>
      <c r="F98" s="5" t="s">
        <v>4</v>
      </c>
      <c r="G98" s="6"/>
      <c r="H98" s="3"/>
      <c r="I98" s="3">
        <v>88.19</v>
      </c>
      <c r="J98" s="3">
        <v>1</v>
      </c>
      <c r="K98" s="3">
        <f>H98*J98</f>
        <v>0</v>
      </c>
      <c r="L98" s="3">
        <f>I98*J98</f>
        <v>88.19</v>
      </c>
      <c r="M98" s="3"/>
      <c r="N98" s="11" t="s">
        <v>81</v>
      </c>
      <c r="O98" s="11"/>
      <c r="P98" s="3"/>
      <c r="Q98" s="3"/>
      <c r="R98" s="3"/>
      <c r="S98" s="3"/>
      <c r="T98" s="3"/>
    </row>
    <row r="100" spans="2:20">
      <c r="B100" s="4">
        <v>94</v>
      </c>
      <c r="C100" s="3" t="s">
        <v>304</v>
      </c>
      <c r="D100" s="3" t="s">
        <v>229</v>
      </c>
      <c r="E100" s="3" t="s">
        <v>305</v>
      </c>
      <c r="F100" s="5" t="s">
        <v>4</v>
      </c>
      <c r="G100" s="6"/>
      <c r="H100" s="3"/>
      <c r="I100" s="3">
        <v>62.13</v>
      </c>
      <c r="J100" s="3">
        <v>1</v>
      </c>
      <c r="K100" s="3">
        <f>H100*J100</f>
        <v>0</v>
      </c>
      <c r="L100" s="3">
        <f>I100*J100</f>
        <v>62.13</v>
      </c>
      <c r="M100" s="3"/>
      <c r="N100" s="11" t="s">
        <v>306</v>
      </c>
      <c r="O100" s="11" t="s">
        <v>307</v>
      </c>
      <c r="P100" s="3"/>
      <c r="Q100" s="3"/>
      <c r="R100" s="3"/>
      <c r="S100" s="3"/>
      <c r="T100" s="3"/>
    </row>
    <row r="101" spans="2:20">
      <c r="B101" s="4">
        <v>95</v>
      </c>
      <c r="C101" s="3" t="s">
        <v>308</v>
      </c>
      <c r="D101" s="3" t="s">
        <v>230</v>
      </c>
      <c r="E101" s="3" t="s">
        <v>309</v>
      </c>
      <c r="F101" s="5" t="s">
        <v>4</v>
      </c>
      <c r="G101" s="6"/>
      <c r="H101" s="3"/>
      <c r="I101" s="3">
        <v>12.459300000000001</v>
      </c>
      <c r="J101" s="3">
        <v>3</v>
      </c>
      <c r="K101" s="3">
        <f>H101*J101</f>
        <v>0</v>
      </c>
      <c r="L101" s="3">
        <f>I101*J101</f>
        <v>37.377900000000004</v>
      </c>
      <c r="M101" s="3"/>
      <c r="N101" s="11" t="s">
        <v>306</v>
      </c>
      <c r="O101" s="11" t="s">
        <v>307</v>
      </c>
      <c r="P101" s="3"/>
      <c r="Q101" s="3"/>
      <c r="R101" s="3"/>
      <c r="S101" s="3"/>
      <c r="T101" s="3"/>
    </row>
    <row r="103" spans="2:20">
      <c r="B103" s="4">
        <v>96</v>
      </c>
      <c r="C103" s="3" t="s">
        <v>88</v>
      </c>
      <c r="D103" s="3" t="s">
        <v>89</v>
      </c>
      <c r="E103" s="3" t="s">
        <v>90</v>
      </c>
      <c r="F103" s="5" t="s">
        <v>4</v>
      </c>
      <c r="G103" s="6"/>
      <c r="H103" s="3"/>
      <c r="I103" s="3">
        <v>8.5</v>
      </c>
      <c r="J103" s="3">
        <v>8</v>
      </c>
      <c r="K103" s="3">
        <f>H103*J103</f>
        <v>0</v>
      </c>
      <c r="L103" s="3">
        <f>I103*J103</f>
        <v>68</v>
      </c>
      <c r="M103" s="3"/>
      <c r="N103" s="11" t="s">
        <v>91</v>
      </c>
      <c r="O103" s="13"/>
      <c r="P103" s="3"/>
      <c r="Q103" s="3"/>
      <c r="R103" s="3"/>
      <c r="S103" s="3"/>
      <c r="T103" s="3"/>
    </row>
    <row r="105" spans="2:20">
      <c r="B105" s="4">
        <v>97</v>
      </c>
      <c r="C105" s="3" t="s">
        <v>211</v>
      </c>
      <c r="D105" s="3" t="s">
        <v>211</v>
      </c>
      <c r="E105" s="3" t="s">
        <v>212</v>
      </c>
      <c r="F105" s="5" t="s">
        <v>4</v>
      </c>
      <c r="G105" s="6"/>
      <c r="H105" s="3">
        <v>4.8</v>
      </c>
      <c r="I105" s="3">
        <v>4.8</v>
      </c>
      <c r="J105" s="3">
        <v>4</v>
      </c>
      <c r="K105" s="3">
        <f>H105*J105</f>
        <v>19.2</v>
      </c>
      <c r="L105" s="3">
        <f>I105*J105</f>
        <v>19.2</v>
      </c>
      <c r="M105" s="3"/>
      <c r="N105" s="11" t="s">
        <v>213</v>
      </c>
      <c r="O105" s="11"/>
      <c r="P105" s="3"/>
      <c r="Q105" s="3"/>
      <c r="R105" s="3"/>
      <c r="S105" s="3"/>
      <c r="T105" s="3"/>
    </row>
    <row r="107" spans="2:20">
      <c r="B107" s="4">
        <v>98</v>
      </c>
      <c r="C107" s="3" t="s">
        <v>226</v>
      </c>
      <c r="D107" s="3" t="s">
        <v>227</v>
      </c>
      <c r="E107" s="3" t="s">
        <v>453</v>
      </c>
      <c r="F107" s="5" t="s">
        <v>4</v>
      </c>
      <c r="G107" s="6"/>
      <c r="H107" s="3">
        <v>28.53</v>
      </c>
      <c r="I107" s="3">
        <v>33.950000000000003</v>
      </c>
      <c r="J107" s="3">
        <v>1</v>
      </c>
      <c r="K107" s="3"/>
      <c r="L107" s="3">
        <f>I107*J107</f>
        <v>33.950000000000003</v>
      </c>
      <c r="M107" s="3"/>
      <c r="N107" s="11" t="s">
        <v>228</v>
      </c>
      <c r="O107" s="11"/>
      <c r="P107" s="3"/>
      <c r="Q107" s="3"/>
      <c r="R107" s="3"/>
      <c r="S107" s="3"/>
      <c r="T107" s="3"/>
    </row>
    <row r="109" spans="2:20">
      <c r="B109" s="4">
        <v>99</v>
      </c>
      <c r="C109" s="3" t="s">
        <v>234</v>
      </c>
      <c r="D109" s="3" t="s">
        <v>235</v>
      </c>
      <c r="E109" s="3" t="s">
        <v>236</v>
      </c>
      <c r="F109" s="5" t="s">
        <v>4</v>
      </c>
      <c r="G109" s="6"/>
      <c r="H109" s="3"/>
      <c r="I109" s="3">
        <v>319</v>
      </c>
      <c r="J109" s="3">
        <v>1</v>
      </c>
      <c r="K109" s="3">
        <f>H109*J109</f>
        <v>0</v>
      </c>
      <c r="L109" s="3">
        <f>I109*J109</f>
        <v>319</v>
      </c>
      <c r="M109" s="3"/>
      <c r="N109" s="11" t="s">
        <v>237</v>
      </c>
      <c r="O109" s="13" t="s">
        <v>300</v>
      </c>
      <c r="P109" s="3"/>
      <c r="Q109" s="3"/>
      <c r="R109" s="3"/>
      <c r="S109" s="3"/>
      <c r="T109" s="3"/>
    </row>
    <row r="111" spans="2:20">
      <c r="B111" s="4">
        <v>100</v>
      </c>
      <c r="C111" s="3" t="s">
        <v>447</v>
      </c>
      <c r="D111" s="3" t="s">
        <v>448</v>
      </c>
      <c r="E111" s="3" t="s">
        <v>449</v>
      </c>
      <c r="F111" s="5" t="s">
        <v>4</v>
      </c>
      <c r="G111" s="3"/>
      <c r="H111" s="3"/>
      <c r="I111" s="3">
        <v>28.8</v>
      </c>
      <c r="J111" s="3">
        <v>2</v>
      </c>
      <c r="K111" s="3">
        <f>H111*J111</f>
        <v>0</v>
      </c>
      <c r="L111" s="3">
        <f>I111*J111</f>
        <v>57.6</v>
      </c>
      <c r="M111" s="3"/>
      <c r="N111" s="11" t="s">
        <v>452</v>
      </c>
      <c r="O111" s="16" t="s">
        <v>297</v>
      </c>
      <c r="P111" s="3"/>
      <c r="Q111" s="3"/>
      <c r="R111" s="3"/>
      <c r="S111" s="3"/>
      <c r="T111" s="3"/>
    </row>
    <row r="112" spans="2:20">
      <c r="B112" s="4">
        <v>101</v>
      </c>
      <c r="C112" s="3" t="s">
        <v>450</v>
      </c>
      <c r="D112" s="3" t="s">
        <v>241</v>
      </c>
      <c r="E112" s="3" t="s">
        <v>451</v>
      </c>
      <c r="F112" s="5" t="s">
        <v>4</v>
      </c>
      <c r="G112" s="6"/>
      <c r="H112" s="3"/>
      <c r="I112" s="3">
        <v>44.39</v>
      </c>
      <c r="J112" s="3">
        <v>1</v>
      </c>
      <c r="K112" s="3">
        <f>H112*J112</f>
        <v>0</v>
      </c>
      <c r="L112" s="3">
        <f>I112*J112</f>
        <v>44.39</v>
      </c>
      <c r="M112" s="3"/>
      <c r="N112" s="11" t="s">
        <v>452</v>
      </c>
      <c r="O112" s="11"/>
      <c r="P112" s="3"/>
      <c r="Q112" s="3"/>
      <c r="R112" s="3"/>
      <c r="S112" s="3"/>
      <c r="T112" s="3"/>
    </row>
    <row r="114" spans="2:20">
      <c r="B114" s="4">
        <v>102</v>
      </c>
      <c r="C114" s="3" t="s">
        <v>284</v>
      </c>
      <c r="D114" s="3" t="s">
        <v>285</v>
      </c>
      <c r="E114" s="3"/>
      <c r="F114" s="5" t="s">
        <v>286</v>
      </c>
      <c r="G114" s="3"/>
      <c r="H114" s="3"/>
      <c r="I114" s="3">
        <v>171.9</v>
      </c>
      <c r="J114" s="3">
        <v>1</v>
      </c>
      <c r="K114" s="3">
        <f>H114*J114</f>
        <v>0</v>
      </c>
      <c r="L114" s="3">
        <f>I114*J114</f>
        <v>171.9</v>
      </c>
      <c r="M114" s="3"/>
      <c r="N114" s="11" t="s">
        <v>301</v>
      </c>
      <c r="O114" s="11"/>
      <c r="P114" s="3"/>
      <c r="Q114" s="3"/>
      <c r="R114" s="3"/>
      <c r="S114" s="3"/>
      <c r="T114" s="3"/>
    </row>
    <row r="115" spans="2:20">
      <c r="B115" s="20"/>
      <c r="F115" s="21"/>
      <c r="N115" s="22"/>
      <c r="O115" s="22"/>
    </row>
    <row r="116" spans="2:20">
      <c r="B116" s="24" t="s">
        <v>458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2:20">
      <c r="B117" s="4">
        <v>103</v>
      </c>
      <c r="C117" s="3" t="s">
        <v>79</v>
      </c>
      <c r="D117" s="3" t="s">
        <v>80</v>
      </c>
      <c r="E117" s="11"/>
      <c r="F117" s="12" t="s">
        <v>4</v>
      </c>
      <c r="G117" s="6"/>
      <c r="H117" s="3"/>
      <c r="I117" s="3">
        <v>88.21</v>
      </c>
      <c r="J117" s="3">
        <v>3</v>
      </c>
      <c r="K117" s="3">
        <f>H117*J117</f>
        <v>0</v>
      </c>
      <c r="L117" s="3">
        <f>I117*J117</f>
        <v>264.63</v>
      </c>
      <c r="M117" s="3"/>
      <c r="N117" s="15" t="s">
        <v>81</v>
      </c>
      <c r="O117" s="15" t="s">
        <v>299</v>
      </c>
      <c r="P117" s="3"/>
      <c r="Q117" s="3"/>
      <c r="R117" s="3"/>
      <c r="S117" s="3"/>
      <c r="T117" s="3"/>
    </row>
    <row r="118" spans="2:20">
      <c r="B118" s="4">
        <v>104</v>
      </c>
      <c r="C118" s="3" t="s">
        <v>106</v>
      </c>
      <c r="D118" s="3"/>
      <c r="E118" s="11"/>
      <c r="F118" s="3"/>
      <c r="G118" s="6"/>
      <c r="H118" s="3"/>
      <c r="I118" s="3"/>
      <c r="J118" s="3">
        <v>3</v>
      </c>
      <c r="K118" s="3">
        <f>H118*J118</f>
        <v>0</v>
      </c>
      <c r="L118" s="3">
        <f>I118*J118</f>
        <v>0</v>
      </c>
      <c r="M118" s="3"/>
      <c r="N118" s="11" t="s">
        <v>107</v>
      </c>
      <c r="O118" s="11" t="s">
        <v>298</v>
      </c>
      <c r="P118" s="3"/>
      <c r="Q118" s="3"/>
      <c r="R118" s="3"/>
      <c r="S118" s="3"/>
      <c r="T118" s="3"/>
    </row>
    <row r="120" spans="2:20">
      <c r="B120" s="4">
        <v>105</v>
      </c>
      <c r="C120" s="3" t="s">
        <v>293</v>
      </c>
      <c r="D120" s="3"/>
      <c r="E120" s="3"/>
      <c r="F120" s="5" t="s">
        <v>4</v>
      </c>
      <c r="G120" s="3"/>
      <c r="H120" s="3"/>
      <c r="I120" s="3">
        <v>24</v>
      </c>
      <c r="J120" s="3">
        <v>5</v>
      </c>
      <c r="K120" s="3">
        <f>H120*J120</f>
        <v>0</v>
      </c>
      <c r="L120" s="3">
        <f>I120*J120</f>
        <v>120</v>
      </c>
      <c r="M120" s="3"/>
      <c r="N120" s="17" t="s">
        <v>302</v>
      </c>
      <c r="O120" s="11" t="s">
        <v>298</v>
      </c>
      <c r="P120" s="3"/>
      <c r="Q120" s="3"/>
      <c r="R120" s="3"/>
      <c r="S120" s="3"/>
      <c r="T120" s="3"/>
    </row>
    <row r="121" spans="2:20">
      <c r="B121" s="4">
        <v>106</v>
      </c>
      <c r="C121" s="3" t="s">
        <v>294</v>
      </c>
      <c r="D121" s="3"/>
      <c r="E121" s="3"/>
      <c r="F121" s="5" t="s">
        <v>4</v>
      </c>
      <c r="G121" s="3"/>
      <c r="H121" s="3"/>
      <c r="I121" s="3">
        <v>15.15</v>
      </c>
      <c r="J121" s="3">
        <v>5</v>
      </c>
      <c r="K121" s="3">
        <f>H121*J121</f>
        <v>0</v>
      </c>
      <c r="L121" s="3">
        <f>I121*J121</f>
        <v>75.75</v>
      </c>
      <c r="M121" s="3"/>
      <c r="N121" s="17" t="s">
        <v>302</v>
      </c>
      <c r="O121" s="11" t="s">
        <v>298</v>
      </c>
      <c r="P121" s="3"/>
      <c r="Q121" s="3"/>
      <c r="R121" s="3"/>
      <c r="S121" s="3"/>
      <c r="T121" s="3"/>
    </row>
    <row r="122" spans="2:20">
      <c r="B122" s="4">
        <v>107</v>
      </c>
      <c r="C122" s="3" t="s">
        <v>295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11"/>
      <c r="O122" s="11"/>
      <c r="P122" s="3"/>
      <c r="Q122" s="3"/>
      <c r="R122" s="3"/>
      <c r="S122" s="3"/>
      <c r="T122" s="3"/>
    </row>
    <row r="123" spans="2:20">
      <c r="B123" s="4">
        <v>108</v>
      </c>
      <c r="C123" s="3" t="s">
        <v>296</v>
      </c>
      <c r="D123" s="3"/>
      <c r="E123" s="3"/>
      <c r="F123" s="5" t="s">
        <v>4</v>
      </c>
      <c r="G123" s="3"/>
      <c r="H123" s="3"/>
      <c r="I123" s="3">
        <v>39</v>
      </c>
      <c r="J123" s="3">
        <v>3</v>
      </c>
      <c r="K123" s="3">
        <f>H123*J123</f>
        <v>0</v>
      </c>
      <c r="L123" s="3">
        <f>I123*J123</f>
        <v>117</v>
      </c>
      <c r="M123" s="3"/>
      <c r="N123" s="15" t="s">
        <v>303</v>
      </c>
      <c r="O123" s="11"/>
      <c r="P123" s="3"/>
      <c r="Q123" s="3"/>
      <c r="R123" s="3"/>
      <c r="S123" s="3"/>
      <c r="T123" s="3"/>
    </row>
  </sheetData>
  <mergeCells count="2">
    <mergeCell ref="P1:T1"/>
    <mergeCell ref="B116:O116"/>
  </mergeCells>
  <phoneticPr fontId="7" type="noConversion"/>
  <conditionalFormatting sqref="E1">
    <cfRule type="duplicateValues" dxfId="29" priority="29"/>
  </conditionalFormatting>
  <conditionalFormatting sqref="E2:E14">
    <cfRule type="duplicateValues" dxfId="28" priority="30"/>
  </conditionalFormatting>
  <conditionalFormatting sqref="E15:E17">
    <cfRule type="duplicateValues" dxfId="27" priority="28"/>
  </conditionalFormatting>
  <conditionalFormatting sqref="E18:E25">
    <cfRule type="duplicateValues" dxfId="26" priority="27"/>
  </conditionalFormatting>
  <conditionalFormatting sqref="E26:E29">
    <cfRule type="duplicateValues" dxfId="25" priority="26"/>
  </conditionalFormatting>
  <conditionalFormatting sqref="E30:E36">
    <cfRule type="duplicateValues" dxfId="24" priority="25"/>
  </conditionalFormatting>
  <conditionalFormatting sqref="E37">
    <cfRule type="duplicateValues" dxfId="23" priority="24"/>
  </conditionalFormatting>
  <conditionalFormatting sqref="E38:E47">
    <cfRule type="duplicateValues" dxfId="22" priority="23"/>
  </conditionalFormatting>
  <conditionalFormatting sqref="E50:E58 E48">
    <cfRule type="duplicateValues" dxfId="21" priority="22"/>
  </conditionalFormatting>
  <conditionalFormatting sqref="E59:E60">
    <cfRule type="duplicateValues" dxfId="20" priority="21"/>
  </conditionalFormatting>
  <conditionalFormatting sqref="E61:E62">
    <cfRule type="duplicateValues" dxfId="19" priority="20"/>
  </conditionalFormatting>
  <conditionalFormatting sqref="E63:E70">
    <cfRule type="duplicateValues" dxfId="18" priority="19"/>
  </conditionalFormatting>
  <conditionalFormatting sqref="E72">
    <cfRule type="duplicateValues" dxfId="17" priority="18"/>
  </conditionalFormatting>
  <conditionalFormatting sqref="E73:E79">
    <cfRule type="duplicateValues" dxfId="16" priority="17"/>
  </conditionalFormatting>
  <conditionalFormatting sqref="E80">
    <cfRule type="duplicateValues" dxfId="15" priority="16"/>
  </conditionalFormatting>
  <conditionalFormatting sqref="E81:E82">
    <cfRule type="duplicateValues" dxfId="14" priority="15"/>
  </conditionalFormatting>
  <conditionalFormatting sqref="E84">
    <cfRule type="duplicateValues" dxfId="13" priority="14"/>
  </conditionalFormatting>
  <conditionalFormatting sqref="E85:E95">
    <cfRule type="duplicateValues" dxfId="12" priority="13"/>
  </conditionalFormatting>
  <conditionalFormatting sqref="E97">
    <cfRule type="duplicateValues" dxfId="11" priority="12"/>
  </conditionalFormatting>
  <conditionalFormatting sqref="E98">
    <cfRule type="duplicateValues" dxfId="10" priority="11"/>
  </conditionalFormatting>
  <conditionalFormatting sqref="E100:E101">
    <cfRule type="duplicateValues" dxfId="9" priority="10"/>
  </conditionalFormatting>
  <conditionalFormatting sqref="E103">
    <cfRule type="duplicateValues" dxfId="8" priority="8"/>
  </conditionalFormatting>
  <conditionalFormatting sqref="E105">
    <cfRule type="duplicateValues" dxfId="7" priority="7"/>
  </conditionalFormatting>
  <conditionalFormatting sqref="E107">
    <cfRule type="duplicateValues" dxfId="6" priority="6"/>
  </conditionalFormatting>
  <conditionalFormatting sqref="E109">
    <cfRule type="duplicateValues" dxfId="5" priority="5"/>
  </conditionalFormatting>
  <conditionalFormatting sqref="E111">
    <cfRule type="duplicateValues" dxfId="4" priority="4"/>
  </conditionalFormatting>
  <conditionalFormatting sqref="E112">
    <cfRule type="duplicateValues" dxfId="3" priority="31"/>
  </conditionalFormatting>
  <conditionalFormatting sqref="E114:E115">
    <cfRule type="duplicateValues" dxfId="2" priority="3"/>
  </conditionalFormatting>
  <conditionalFormatting sqref="E117:E118">
    <cfRule type="duplicateValues" dxfId="1" priority="2"/>
  </conditionalFormatting>
  <conditionalFormatting sqref="E120:E123">
    <cfRule type="duplicateValues" dxfId="0" priority="1"/>
  </conditionalFormatting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11000000}"/>
    <hyperlink ref="F16" r:id="rId15" xr:uid="{00000000-0004-0000-0000-000012000000}"/>
    <hyperlink ref="F17" r:id="rId16" xr:uid="{00000000-0004-0000-0000-000013000000}"/>
    <hyperlink ref="F18" r:id="rId17" xr:uid="{00000000-0004-0000-0000-000014000000}"/>
    <hyperlink ref="F19" r:id="rId18" xr:uid="{00000000-0004-0000-0000-000015000000}"/>
    <hyperlink ref="F20" r:id="rId19" xr:uid="{00000000-0004-0000-0000-000016000000}"/>
    <hyperlink ref="F21" r:id="rId20" xr:uid="{00000000-0004-0000-0000-000017000000}"/>
    <hyperlink ref="F22" r:id="rId21" xr:uid="{00000000-0004-0000-0000-000018000000}"/>
    <hyperlink ref="F23" r:id="rId22" xr:uid="{00000000-0004-0000-0000-000019000000}"/>
    <hyperlink ref="F24" r:id="rId23" xr:uid="{00000000-0004-0000-0000-00001A000000}"/>
    <hyperlink ref="F25" r:id="rId24" xr:uid="{00000000-0004-0000-0000-00001D000000}"/>
    <hyperlink ref="F26" r:id="rId25" xr:uid="{00000000-0004-0000-0000-000028000000}"/>
    <hyperlink ref="F27" r:id="rId26" xr:uid="{00000000-0004-0000-0000-000029000000}"/>
    <hyperlink ref="F28" r:id="rId27" xr:uid="{00000000-0004-0000-0000-00002A000000}"/>
    <hyperlink ref="F29" r:id="rId28" xr:uid="{00000000-0004-0000-0000-00002B000000}"/>
    <hyperlink ref="F32" r:id="rId29" xr:uid="{00000000-0004-0000-0000-000036000000}"/>
    <hyperlink ref="F33" r:id="rId30" xr:uid="{CE3C82D9-3A09-413B-8223-8AF693D08F60}"/>
    <hyperlink ref="F34" r:id="rId31" xr:uid="{BC64533C-81A5-4906-B4C4-4303F6600E8A}"/>
    <hyperlink ref="F31" r:id="rId32" xr:uid="{CC30E707-8591-4E50-88BA-3CD28DDFBBE6}"/>
    <hyperlink ref="F30" r:id="rId33" xr:uid="{682E7DD7-2D59-49DC-89CE-76E7B226598C}"/>
    <hyperlink ref="F35" r:id="rId34" xr:uid="{BCF879DC-C459-48D0-9114-5F42B13F43D0}"/>
    <hyperlink ref="F36" r:id="rId35" xr:uid="{2F3B41F0-A857-4C1A-B74D-CE13AF36B0E1}"/>
    <hyperlink ref="F37" r:id="rId36" xr:uid="{14A71B97-1900-4E3A-AF2A-B557FBAD5246}"/>
    <hyperlink ref="F38" r:id="rId37" xr:uid="{6AB3768E-512C-413E-B73A-593E38180549}"/>
    <hyperlink ref="F39" r:id="rId38" xr:uid="{C5F8F2DB-FB1D-4F6E-9F27-84FA80AB50E1}"/>
    <hyperlink ref="F40" r:id="rId39" xr:uid="{9FF197B5-215F-421B-8468-0B3F6E7B2009}"/>
    <hyperlink ref="F41" r:id="rId40" xr:uid="{024442DA-35B6-4AF9-8505-4BC830E6EA00}"/>
    <hyperlink ref="F42" r:id="rId41" xr:uid="{216543AA-492B-4384-AC8B-6DB6E1B3A3CC}"/>
    <hyperlink ref="F43" r:id="rId42" xr:uid="{32FF5C8C-34D9-4D8F-8FE1-238D4DB43D0D}"/>
    <hyperlink ref="F44" r:id="rId43" xr:uid="{F674F114-6156-41AC-B54A-60EBCB1E7568}"/>
    <hyperlink ref="F45" r:id="rId44" xr:uid="{AB2F7598-CC49-4F54-8E97-6F78DA5E1420}"/>
    <hyperlink ref="F46" r:id="rId45" xr:uid="{B61AFD47-ED45-4109-BE87-223E26821595}"/>
    <hyperlink ref="F47" r:id="rId46" xr:uid="{AADD9666-077E-4DC4-B154-A61E77C4FB01}"/>
    <hyperlink ref="F50" r:id="rId47" xr:uid="{00000000-0004-0000-0000-00001E000000}"/>
    <hyperlink ref="F51" r:id="rId48" xr:uid="{00000000-0004-0000-0000-00001F000000}"/>
    <hyperlink ref="F48" r:id="rId49" xr:uid="{00000000-0004-0000-0000-000020000000}"/>
    <hyperlink ref="F52" r:id="rId50" xr:uid="{00000000-0004-0000-0000-000021000000}"/>
    <hyperlink ref="F53" r:id="rId51" xr:uid="{00000000-0004-0000-0000-000022000000}"/>
    <hyperlink ref="F54" r:id="rId52" xr:uid="{00000000-0004-0000-0000-000023000000}"/>
    <hyperlink ref="F55" r:id="rId53" xr:uid="{00000000-0004-0000-0000-000024000000}"/>
    <hyperlink ref="F56" r:id="rId54" xr:uid="{00000000-0004-0000-0000-000025000000}"/>
    <hyperlink ref="F57" r:id="rId55" xr:uid="{00000000-0004-0000-0000-000026000000}"/>
    <hyperlink ref="F58" r:id="rId56" xr:uid="{00000000-0004-0000-0000-000027000000}"/>
    <hyperlink ref="F60" r:id="rId57" xr:uid="{00000000-0004-0000-0000-000037000000}"/>
    <hyperlink ref="F59" r:id="rId58" xr:uid="{3D2222F7-8AC2-4633-AB37-B50DAC8010F2}"/>
    <hyperlink ref="F61" r:id="rId59" xr:uid="{00000000-0004-0000-0000-000035000000}"/>
    <hyperlink ref="F62" r:id="rId60" xr:uid="{00000000-0004-0000-0000-000038000000}"/>
    <hyperlink ref="F63" r:id="rId61" xr:uid="{00000000-0004-0000-0000-00004A000000}"/>
    <hyperlink ref="F64" r:id="rId62" xr:uid="{00000000-0004-0000-0000-00004B000000}"/>
    <hyperlink ref="F65" r:id="rId63" xr:uid="{00000000-0004-0000-0000-00004C000000}"/>
    <hyperlink ref="F66" r:id="rId64" xr:uid="{00000000-0004-0000-0000-00004D000000}"/>
    <hyperlink ref="F67" r:id="rId65" xr:uid="{00000000-0004-0000-0000-00004E000000}"/>
    <hyperlink ref="F68" r:id="rId66" xr:uid="{00000000-0004-0000-0000-00004F000000}"/>
    <hyperlink ref="F69" r:id="rId67" xr:uid="{00000000-0004-0000-0000-000050000000}"/>
    <hyperlink ref="F70" r:id="rId68" xr:uid="{00000000-0004-0000-0000-000051000000}"/>
    <hyperlink ref="F72" r:id="rId69" xr:uid="{00000000-0004-0000-0000-00000F000000}"/>
    <hyperlink ref="F73" r:id="rId70" xr:uid="{00000000-0004-0000-0000-00002C000000}"/>
    <hyperlink ref="F74" r:id="rId71" xr:uid="{00000000-0004-0000-0000-00002D000000}"/>
    <hyperlink ref="F75" r:id="rId72" xr:uid="{00000000-0004-0000-0000-00002E000000}"/>
    <hyperlink ref="F76" r:id="rId73" xr:uid="{00000000-0004-0000-0000-00002F000000}"/>
    <hyperlink ref="F77" r:id="rId74" xr:uid="{00000000-0004-0000-0000-000030000000}"/>
    <hyperlink ref="F78" r:id="rId75" xr:uid="{00000000-0004-0000-0000-000031000000}"/>
    <hyperlink ref="F79" r:id="rId76" xr:uid="{00000000-0004-0000-0000-000032000000}"/>
    <hyperlink ref="F80" r:id="rId77" xr:uid="{00000000-0004-0000-0000-000034000000}"/>
    <hyperlink ref="F81" r:id="rId78" xr:uid="{00000000-0004-0000-0000-000053000000}"/>
    <hyperlink ref="F82" r:id="rId79" xr:uid="{00000000-0004-0000-0000-000054000000}"/>
    <hyperlink ref="F84" r:id="rId80" xr:uid="{00000000-0004-0000-0000-00003C000000}"/>
    <hyperlink ref="F85" r:id="rId81" xr:uid="{00000000-0004-0000-0000-000042000000}"/>
    <hyperlink ref="F86" r:id="rId82" xr:uid="{00000000-0004-0000-0000-000043000000}"/>
    <hyperlink ref="F87" r:id="rId83" xr:uid="{00000000-0004-0000-0000-000044000000}"/>
    <hyperlink ref="F88" r:id="rId84" xr:uid="{00000000-0004-0000-0000-000045000000}"/>
    <hyperlink ref="F89" r:id="rId85" xr:uid="{00000000-0004-0000-0000-000046000000}"/>
    <hyperlink ref="F90" r:id="rId86" xr:uid="{00000000-0004-0000-0000-000047000000}"/>
    <hyperlink ref="F91" r:id="rId87" xr:uid="{00000000-0004-0000-0000-000048000000}"/>
    <hyperlink ref="F92" r:id="rId88" xr:uid="{00000000-0004-0000-0000-000049000000}"/>
    <hyperlink ref="F97" r:id="rId89" xr:uid="{00000000-0004-0000-0000-00000E000000}"/>
    <hyperlink ref="F98" r:id="rId90" xr:uid="{00000000-0004-0000-0000-00003E000000}"/>
    <hyperlink ref="F100" r:id="rId91" xr:uid="{00000000-0004-0000-0000-00003A000000}"/>
    <hyperlink ref="F101" r:id="rId92" xr:uid="{00000000-0004-0000-0000-00003B000000}"/>
    <hyperlink ref="F112" r:id="rId93" xr:uid="{00000000-0004-0000-0000-00003F000000}"/>
    <hyperlink ref="F103" r:id="rId94" xr:uid="{00000000-0004-0000-0000-000010000000}"/>
    <hyperlink ref="F105" r:id="rId95" xr:uid="{00000000-0004-0000-0000-000033000000}"/>
    <hyperlink ref="F107" r:id="rId96" xr:uid="{00000000-0004-0000-0000-000039000000}"/>
    <hyperlink ref="F109" r:id="rId97" xr:uid="{00000000-0004-0000-0000-00003D000000}"/>
    <hyperlink ref="F111" r:id="rId98" xr:uid="{00000000-0004-0000-0000-000041000000}"/>
    <hyperlink ref="F114" r:id="rId99" xr:uid="{00000000-0004-0000-0000-000052000000}"/>
    <hyperlink ref="F117" r:id="rId100" xr:uid="{00000000-0004-0000-0000-00000D000000}"/>
    <hyperlink ref="F120" r:id="rId101" xr:uid="{00000000-0004-0000-0000-000057000000}"/>
    <hyperlink ref="F121" r:id="rId102" xr:uid="{00000000-0004-0000-0000-000058000000}"/>
    <hyperlink ref="F123" r:id="rId103" xr:uid="{00000000-0004-0000-0000-000059000000}"/>
    <hyperlink ref="F93" r:id="rId104" location="closemodal" xr:uid="{A82E4431-1E0F-4382-AC49-853CA61B9EA6}"/>
    <hyperlink ref="F94" r:id="rId105" xr:uid="{CA949AF6-8B80-4FE3-B739-A0AB71B38584}"/>
    <hyperlink ref="F95" r:id="rId106" xr:uid="{A8BD5389-8932-4A51-B633-6CD7CD7DF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ratikanta mishra</dc:creator>
  <dc:description/>
  <cp:lastModifiedBy>ratikanta mishra</cp:lastModifiedBy>
  <cp:revision>0</cp:revision>
  <dcterms:created xsi:type="dcterms:W3CDTF">2026-04-20T08:59:31Z</dcterms:created>
  <dcterms:modified xsi:type="dcterms:W3CDTF">2026-04-27T15:02:38Z</dcterms:modified>
  <dc:language>de-DE</dc:language>
</cp:coreProperties>
</file>