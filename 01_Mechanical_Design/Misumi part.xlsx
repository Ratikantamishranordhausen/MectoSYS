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0_MectoSYS_Repo/01_Mechanical_Design/"/>
    </mc:Choice>
  </mc:AlternateContent>
  <xr:revisionPtr revIDLastSave="0" documentId="8_{0AD9B4F4-F782-417C-A88D-6301816E893B}" xr6:coauthVersionLast="47" xr6:coauthVersionMax="47" xr10:uidLastSave="{00000000-0000-0000-0000-000000000000}"/>
  <bookViews>
    <workbookView xWindow="28680" yWindow="-120" windowWidth="29040" windowHeight="15720" xr2:uid="{B37C76B2-4B90-44BB-A907-A47B6BC32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1" l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<sst xmlns="http://schemas.openxmlformats.org/spreadsheetml/2006/main" count="296" uniqueCount="185">
  <si>
    <t>6 Series / slot width 8 / 300x30mm, Parallel Surfacing</t>
  </si>
  <si>
    <t xml:space="preserve">Surface plate </t>
  </si>
  <si>
    <t>EFSP6-30030-900</t>
  </si>
  <si>
    <t>Misumi</t>
  </si>
  <si>
    <t>Link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</si>
  <si>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</si>
  <si>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</si>
  <si>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</si>
  <si>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</si>
  <si>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</si>
  <si>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</si>
  <si>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</si>
  <si>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</si>
  <si>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</si>
  <si>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</si>
  <si>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</si>
  <si>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</si>
  <si>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</si>
  <si>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</si>
  <si>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</si>
  <si>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</si>
  <si>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</si>
  <si>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</si>
  <si>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</si>
  <si>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</si>
  <si>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</si>
  <si>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</si>
  <si>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scheme val="minor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</si>
  <si>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</si>
  <si>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</si>
  <si>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</si>
  <si>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</si>
  <si>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</si>
  <si>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</si>
  <si>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</si>
  <si>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</si>
  <si>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</si>
  <si>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</si>
  <si>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</si>
  <si>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</si>
  <si>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</si>
  <si>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</si>
  <si>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</si>
  <si>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</si>
  <si>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</si>
  <si>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</si>
  <si>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</si>
  <si>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</si>
  <si>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</si>
  <si>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</si>
  <si>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</si>
  <si>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</si>
  <si>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</si>
  <si>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</si>
  <si>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</si>
  <si>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</si>
  <si>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</si>
  <si>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</si>
  <si>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</si>
  <si>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</si>
  <si>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</si>
  <si>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</si>
  <si>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</si>
  <si>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</si>
  <si>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</si>
  <si>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scheme val="minor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</si>
  <si>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</si>
  <si>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</si>
  <si>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</si>
  <si>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</si>
  <si>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</si>
  <si>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</si>
  <si>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</si>
  <si>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</si>
  <si>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</si>
  <si>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</si>
  <si>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</si>
  <si>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Round cylinder, DSNU Series</t>
  </si>
  <si>
    <t>Cylinder</t>
  </si>
  <si>
    <t>DSNU-8-100-P-A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</si>
  <si>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</si>
  <si>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</si>
  <si>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</si>
  <si>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</si>
  <si>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</si>
  <si>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</si>
  <si>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</si>
  <si>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</si>
  <si>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</si>
  <si>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</si>
  <si>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</si>
  <si>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</si>
  <si>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</si>
  <si>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</si>
  <si>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</si>
  <si>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</si>
  <si>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</si>
  <si>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</si>
  <si>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</si>
  <si>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</si>
  <si>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</si>
  <si>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</si>
  <si>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</si>
  <si>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</si>
  <si>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</si>
  <si>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</si>
  <si>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</si>
  <si>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</si>
  <si>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</si>
  <si>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</si>
  <si>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</si>
  <si>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</si>
  <si>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scheme val="minor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</si>
  <si>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</si>
  <si>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</si>
  <si>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</si>
  <si>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</si>
  <si>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</si>
  <si>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>Tube Blue</t>
  </si>
  <si>
    <t>PUN-H-4X0.75-BL</t>
  </si>
  <si>
    <t>Tube Black</t>
  </si>
  <si>
    <t>PUN-H-4X0.75-SW</t>
  </si>
  <si>
    <t>Multiple distributor, QSQ Series</t>
  </si>
  <si>
    <t>Distributer 4 mm</t>
  </si>
  <si>
    <t>QSQ-6-4</t>
  </si>
  <si>
    <t xml:space="preserve">8 Series / Post-Assembly Insertion Nuts </t>
  </si>
  <si>
    <t>M6 8 series</t>
  </si>
  <si>
    <t>HNTF8-6</t>
  </si>
  <si>
    <t>M6-14</t>
  </si>
  <si>
    <t>CBM6-14</t>
  </si>
  <si>
    <t xml:space="preserve">8 Series / slot width 10 / 80x80mm </t>
  </si>
  <si>
    <t>Extrusion</t>
  </si>
  <si>
    <t>HFS8-8080-1000</t>
  </si>
  <si>
    <t xml:space="preserve">8 Series / Frame End Caps </t>
  </si>
  <si>
    <t>HFC8-8080-B</t>
  </si>
  <si>
    <t>5 Series / Post-Assembly Insertion Spring Nuts</t>
  </si>
  <si>
    <t>Post assembly nut</t>
  </si>
  <si>
    <t>HNTP5-4</t>
  </si>
  <si>
    <t>M4 8 series</t>
  </si>
  <si>
    <t>HNTF8-4</t>
  </si>
  <si>
    <t>Hex Socket Head Bolt</t>
  </si>
  <si>
    <t>M4-8</t>
  </si>
  <si>
    <t>CSS-04-08</t>
  </si>
  <si>
    <t>Hexagon Socket Head Cap Screws Flat / Steel, Stainless Steel</t>
  </si>
  <si>
    <t>M3-10</t>
  </si>
  <si>
    <t>HFBCM3-10</t>
  </si>
  <si>
    <t>Conveyor Sensor Brackets / Post-Assembly Insertion Nuts For Sensors</t>
  </si>
  <si>
    <t>BFCBN40-6</t>
  </si>
  <si>
    <t>M3</t>
  </si>
  <si>
    <t>HNTP5-3</t>
  </si>
  <si>
    <t>8 Series / Post-Assembly Insertion Short Nuts【1 to 100 pieces】</t>
  </si>
  <si>
    <t>HNTAJ8-3</t>
  </si>
  <si>
    <t>8 Series / Post-Assembly Insertion Spring Nuts</t>
  </si>
  <si>
    <t>M5</t>
  </si>
  <si>
    <t>HNTP8-5</t>
  </si>
  <si>
    <t>M3x35</t>
  </si>
  <si>
    <t>CBM3-35</t>
  </si>
  <si>
    <t xml:space="preserve">Hexagon Socket Head Cap Screws </t>
  </si>
  <si>
    <t>M4x22</t>
  </si>
  <si>
    <t>CBM4-22</t>
  </si>
  <si>
    <t>M5x18</t>
  </si>
  <si>
    <t>CBM5-18</t>
  </si>
  <si>
    <t>M6x30</t>
  </si>
  <si>
    <t>CBM6-30</t>
  </si>
  <si>
    <t xml:space="preserve">5 Series / Angular 45 / 135 degree Angle / 2 Slots </t>
  </si>
  <si>
    <t>Angle bracket</t>
  </si>
  <si>
    <t>HBL45TD5</t>
  </si>
  <si>
    <t xml:space="preserve">Wiring Duct (with Upper Slit / Low Cost) </t>
  </si>
  <si>
    <t>MD-1.5L-R</t>
  </si>
  <si>
    <t xml:space="preserve">Air solenoid valve, VUVG Series </t>
  </si>
  <si>
    <t>Valve</t>
  </si>
  <si>
    <t>VUVG-L10-M52-MT-M5-1H2L-W1</t>
  </si>
  <si>
    <t>Sr No</t>
  </si>
  <si>
    <t>Component Name</t>
  </si>
  <si>
    <t>Component Details</t>
  </si>
  <si>
    <t>Part No</t>
  </si>
  <si>
    <t>Supplier 1</t>
  </si>
  <si>
    <t>Lead Time (Days)</t>
  </si>
  <si>
    <t>Specification</t>
  </si>
  <si>
    <t>Supplier Name</t>
  </si>
  <si>
    <t>Condition</t>
  </si>
  <si>
    <t>Price</t>
  </si>
  <si>
    <t>Tax</t>
  </si>
  <si>
    <t>Qty (Nos)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</si>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</sst>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33CCCC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2" fillId="0" borderId="1" xfId="1" applyFill="1" applyBorder="1" applyAlignment="1" applyProtection="1">
      <alignment vertical="center"/>
    </xf>
    <xf numFmtId="2" fontId="0" fillId="0" borderId="3" xfId="0" applyNumberForma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2" fontId="0" fillId="0" borderId="1" xfId="0" applyNumberFormat="1" applyBorder="1" applyAlignment="1">
      <alignment vertical="center"/>
    </xf>
    <xf numFmtId="0" fontId="6" fillId="0" borderId="1" xfId="0" applyFont="1" applyBorder="1"/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2" fontId="7" fillId="4" borderId="3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8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26" Type="http://schemas.openxmlformats.org/officeDocument/2006/relationships/hyperlink" Target="https://uk.misumi-ec.com/vona2/detail/110300452840/?PNSearch=HFC8-8080-B&amp;HissuCode=HFC8-8080-B&amp;Keyword=HFC8-8080-B&amp;list=SuggestPreview&amp;searchFlow=suggest2products" TargetMode="External"/><Relationship Id="rId39" Type="http://schemas.openxmlformats.org/officeDocument/2006/relationships/hyperlink" Target="https://uk.misumi-ec.com/vona2/detail/110302261370/?PNSearch=CBM5-18&amp;HissuCode=CBM5-18&amp;Keyword=CBM5-18&amp;list=SuggestPreview&amp;searchFlow=suggest2products" TargetMode="External"/><Relationship Id="rId21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34" Type="http://schemas.openxmlformats.org/officeDocument/2006/relationships/hyperlink" Target="https://uk.misumi-ec.com/vona2/detail/110302608410/?PNSearch=HNTP5-3&amp;HissuCode=HNTP5-3&amp;Keyword=HNTP5-3&amp;list=SuggestPreview&amp;searchFlow=suggest2products" TargetMode="External"/><Relationship Id="rId42" Type="http://schemas.openxmlformats.org/officeDocument/2006/relationships/hyperlink" Target="https://uk.misumi-ec.com/vona2/detail/110400152740/?PNSearch=MD-1.5L-R&amp;HissuCode=MD-1.5L-R&amp;Keyword=MD-1.5L-R&amp;list=SuggestPreview&amp;searchFlow=suggest2products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16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20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29" Type="http://schemas.openxmlformats.org/officeDocument/2006/relationships/hyperlink" Target="https://uk.misumi-ec.com/vona2/detail/110302615750/?PNSearch=HNTF8-6&amp;HissuCode=HNTF8-6&amp;Keyword=HNTF8-6&amp;list=SuggestPreview&amp;searchFlow=suggest2products" TargetMode="External"/><Relationship Id="rId41" Type="http://schemas.openxmlformats.org/officeDocument/2006/relationships/hyperlink" Target="https://uk.misumi-ec.com/vona2/detail/110300439270/?PNSearch=HBL45TD5&amp;HissuCode=HBL45TD5&amp;Keyword=HBL45TD5&amp;list=SuggestPreview&amp;searchFlow=suggest2productshist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24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32" Type="http://schemas.openxmlformats.org/officeDocument/2006/relationships/hyperlink" Target="https://uk.misumi-ec.com/vona2/detail/110300463610/?PNSearch=HFBCM3-10&amp;HissuCode=HFBCM3-10&amp;Keyword=HFBCM3-10&amp;list=SuggestPreview&amp;searchFlow=suggest2products" TargetMode="External"/><Relationship Id="rId37" Type="http://schemas.openxmlformats.org/officeDocument/2006/relationships/hyperlink" Target="https://uk.misumi-ec.com/vona2/detail/110302261370/?PNSearch=CBM3-35&amp;HissuCode=CBM3-35&amp;Keyword=CBM3-35&amp;list=SuggestPreview&amp;searchFlow=suggest2products" TargetMode="External"/><Relationship Id="rId40" Type="http://schemas.openxmlformats.org/officeDocument/2006/relationships/hyperlink" Target="https://uk.misumi-ec.com/vona2/detail/110302261370/?PNSearch=CBM6-30&amp;HissuCode=CBM6-30&amp;Keyword=CBM6-30&amp;list=SuggestPreview&amp;searchFlow=suggest2products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15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23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28" Type="http://schemas.openxmlformats.org/officeDocument/2006/relationships/hyperlink" Target="https://uk.misumi-ec.com/vona2/detail/110302261370/?PNSearch=CBM6-14&amp;HissuCode=CBM6-14&amp;Keyword=CBM6-14&amp;list=SuggestPreview&amp;searchFlow=suggest2products" TargetMode="External"/><Relationship Id="rId36" Type="http://schemas.openxmlformats.org/officeDocument/2006/relationships/hyperlink" Target="https://uk.misumi-ec.com/vona2/detail/110302616360/?PNSearch=HNTP8-5&amp;HissuCode=HNTP8-5&amp;Keyword=HNTP8-5&amp;list=SuggestPreview&amp;searchFlow=suggest2productshist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19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31" Type="http://schemas.openxmlformats.org/officeDocument/2006/relationships/hyperlink" Target="https://uk.misumi-ec.com/vona2/detail/221005479774/?PNSearch=CSS-04-08&amp;HissuCode=CSS-04-08&amp;Keyword=CSS-04-08&amp;list=SuggestPreview&amp;searchFlow=suggest2products" TargetMode="External"/><Relationship Id="rId4" Type="http://schemas.openxmlformats.org/officeDocument/2006/relationships/hyperlink" Target="https://uk.misumi-ec.com/vona2/detail/110302261370/?PNSearch=CBM6-12&amp;HissuCode=CBM6-12&amp;Keyword=CBM6-12&amp;list=SuggestPreview&amp;searchFlow=suggest2productshist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4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22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27" Type="http://schemas.openxmlformats.org/officeDocument/2006/relationships/hyperlink" Target="https://uk.misumi-ec.com/vona2/detail/110302608410/?PNSearch=HNTP5-4&amp;HissuCode=HNTP5-4&amp;Keyword=HNTP5-4&amp;list=SuggestPreview&amp;searchFlow=suggest2products" TargetMode="External"/><Relationship Id="rId30" Type="http://schemas.openxmlformats.org/officeDocument/2006/relationships/hyperlink" Target="https://uk.misumi-ec.com/vona2/detail/110302615750/?PNSearch=HNTF8-4&amp;HissuCode=HNTF8-4&amp;Keyword=HNTF8-4&amp;list=SuggestPreview&amp;searchFlow=suggest2products" TargetMode="External"/><Relationship Id="rId35" Type="http://schemas.openxmlformats.org/officeDocument/2006/relationships/hyperlink" Target="https://uk.misumi-ec.com/vona2/detail/110302616720/?PNSearch=HNTAJ8-3&amp;HissuCode=HNTAJ8-3&amp;Keyword=HNTAJ8-3&amp;list=SuggestPreview&amp;searchFlow=suggest2products" TargetMode="External"/><Relationship Id="rId43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12" Type="http://schemas.openxmlformats.org/officeDocument/2006/relationships/hyperlink" Target="https://uk.misumi-ec.com/vona2/detail/110302261370/?PNSearch=CBM5-8&amp;HissuCode=CBM5-8&amp;Keyword=CBM5-8&amp;list=SuggestPreview&amp;searchFlow=suggest2productshist" TargetMode="External"/><Relationship Id="rId17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25" Type="http://schemas.openxmlformats.org/officeDocument/2006/relationships/hyperlink" Target="https://uk.misumi-ec.com/vona2/detail/110302690740/?HissuCode=HFS8-8080-1000&amp;PNSearch=HFS8-8080-1000&amp;KWSearch=HFS8-8080-1000&amp;searchFlow=results2products&amp;list=PageSearchResult" TargetMode="External"/><Relationship Id="rId33" Type="http://schemas.openxmlformats.org/officeDocument/2006/relationships/hyperlink" Target="https://uk.misumi-ec.com/vona2/detail/110302536310/?PNSearch=BFCBN40-6&amp;HissuCode=BFCBN40-6&amp;Keyword=BFCBN40-6&amp;list=SuggestPreview&amp;searchFlow=suggest2productshist" TargetMode="External"/><Relationship Id="rId38" Type="http://schemas.openxmlformats.org/officeDocument/2006/relationships/hyperlink" Target="https://uk.misumi-ec.com/vona2/detail/110302261370/?PNSearch=CBM4-22&amp;HissuCode=CBM4-22&amp;Keyword=CBM4-22&amp;list=SuggestPreview&amp;searchFlow=suggest2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5402-5415-40DD-BA0D-5CC505E4BBA3}">
  <dimension ref="A1:S45"/>
  <sheetViews>
    <sheetView tabSelected="1" workbookViewId="0">
      <selection activeCell="K10" sqref="K10"/>
    </sheetView>
  </sheetViews>
  <sheetFormatPr defaultRowHeight="15"/>
  <cols>
    <col min="1" max="1" width="5.7109375" bestFit="1" customWidth="1"/>
    <col min="2" max="2" width="74" bestFit="1" customWidth="1"/>
    <col min="3" max="3" width="29.7109375" bestFit="1" customWidth="1"/>
    <col min="4" max="4" width="30.140625" bestFit="1" customWidth="1"/>
    <col min="5" max="5" width="14.28515625" bestFit="1" customWidth="1"/>
    <col min="6" max="6" width="9.7109375" bestFit="1" customWidth="1"/>
    <col min="7" max="7" width="4.5703125" bestFit="1" customWidth="1"/>
    <col min="8" max="9" width="7" bestFit="1" customWidth="1"/>
    <col min="10" max="10" width="9.42578125" bestFit="1" customWidth="1"/>
    <col min="11" max="11" width="9.42578125" customWidth="1"/>
    <col min="12" max="13" width="10.28515625" bestFit="1" customWidth="1"/>
    <col min="14" max="14" width="16.140625" bestFit="1" customWidth="1"/>
    <col min="15" max="15" width="41.7109375" bestFit="1" customWidth="1"/>
    <col min="16" max="16" width="47.85546875" bestFit="1" customWidth="1"/>
    <col min="17" max="17" width="47" bestFit="1" customWidth="1"/>
    <col min="18" max="18" width="26.85546875" bestFit="1" customWidth="1"/>
    <col min="19" max="19" width="38.28515625" bestFit="1" customWidth="1"/>
  </cols>
  <sheetData>
    <row r="1" spans="1:19">
      <c r="A1" s="17" t="s">
        <v>172</v>
      </c>
      <c r="B1" s="17" t="s">
        <v>173</v>
      </c>
      <c r="C1" s="17" t="s">
        <v>174</v>
      </c>
      <c r="D1" s="18" t="s">
        <v>175</v>
      </c>
      <c r="E1" s="19" t="s">
        <v>176</v>
      </c>
      <c r="F1" s="20"/>
      <c r="G1" s="20"/>
      <c r="H1" s="20"/>
      <c r="I1" s="20"/>
      <c r="J1" s="20"/>
      <c r="K1" s="20"/>
      <c r="L1" s="20"/>
      <c r="M1" s="21"/>
      <c r="N1" s="17" t="s">
        <v>177</v>
      </c>
      <c r="O1" s="17" t="s">
        <v>178</v>
      </c>
      <c r="P1" s="17"/>
      <c r="Q1" s="17"/>
      <c r="R1" s="17"/>
      <c r="S1" s="17"/>
    </row>
    <row r="2" spans="1:19">
      <c r="A2" s="17"/>
      <c r="B2" s="17"/>
      <c r="C2" s="17"/>
      <c r="D2" s="18"/>
      <c r="E2" s="22" t="s">
        <v>179</v>
      </c>
      <c r="F2" s="23" t="s">
        <v>180</v>
      </c>
      <c r="G2" s="23" t="s">
        <v>4</v>
      </c>
      <c r="H2" s="23" t="s">
        <v>181</v>
      </c>
      <c r="I2" s="23" t="s">
        <v>182</v>
      </c>
      <c r="J2" s="23" t="s">
        <v>183</v>
      </c>
      <c r="K2" s="23"/>
      <c r="L2" s="23" t="s">
        <v>184</v>
      </c>
      <c r="M2" s="24" t="s">
        <v>184</v>
      </c>
      <c r="N2" s="17"/>
      <c r="O2" s="17"/>
      <c r="P2" s="17"/>
      <c r="Q2" s="17"/>
      <c r="R2" s="17"/>
      <c r="S2" s="17"/>
    </row>
    <row r="3" spans="1:19">
      <c r="A3" s="1">
        <v>14</v>
      </c>
      <c r="B3" s="2" t="s">
        <v>0</v>
      </c>
      <c r="C3" s="3" t="s">
        <v>1</v>
      </c>
      <c r="D3" s="3" t="s">
        <v>2</v>
      </c>
      <c r="E3" s="4" t="s">
        <v>3</v>
      </c>
      <c r="F3" s="1"/>
      <c r="G3" s="5" t="s">
        <v>4</v>
      </c>
      <c r="H3" s="3">
        <v>142.74</v>
      </c>
      <c r="I3" s="3">
        <v>169.86</v>
      </c>
      <c r="J3" s="3">
        <v>2</v>
      </c>
      <c r="K3" s="3">
        <v>2</v>
      </c>
      <c r="L3" s="3">
        <v>285.48</v>
      </c>
      <c r="M3" s="6">
        <f>I3*J3</f>
        <v>339.72</v>
      </c>
      <c r="N3" s="8">
        <v>11</v>
      </c>
      <c r="O3" s="9" t="s">
        <v>5</v>
      </c>
      <c r="P3" s="7"/>
      <c r="Q3" s="7"/>
      <c r="R3" s="7"/>
      <c r="S3" s="7"/>
    </row>
    <row r="4" spans="1:19">
      <c r="A4" s="1">
        <v>15</v>
      </c>
      <c r="B4" s="2" t="s">
        <v>6</v>
      </c>
      <c r="C4" s="3" t="s">
        <v>7</v>
      </c>
      <c r="D4" s="3" t="s">
        <v>8</v>
      </c>
      <c r="E4" s="4" t="s">
        <v>3</v>
      </c>
      <c r="F4" s="1"/>
      <c r="G4" s="5" t="s">
        <v>4</v>
      </c>
      <c r="H4" s="3">
        <v>29.28</v>
      </c>
      <c r="I4" s="3">
        <v>34.840000000000003</v>
      </c>
      <c r="J4" s="3">
        <v>4</v>
      </c>
      <c r="K4" s="3">
        <v>4</v>
      </c>
      <c r="L4" s="3">
        <v>117.12</v>
      </c>
      <c r="M4" s="6">
        <f t="shared" ref="M4:M45" si="0">I4*J4</f>
        <v>139.36000000000001</v>
      </c>
      <c r="N4" s="8">
        <v>3</v>
      </c>
      <c r="O4" s="10" t="s">
        <v>9</v>
      </c>
      <c r="P4" s="7" t="s">
        <v>10</v>
      </c>
      <c r="Q4" s="7" t="s">
        <v>11</v>
      </c>
      <c r="R4" s="7" t="s">
        <v>12</v>
      </c>
      <c r="S4" s="7"/>
    </row>
    <row r="5" spans="1:19">
      <c r="A5" s="1">
        <v>16</v>
      </c>
      <c r="B5" s="2" t="s">
        <v>13</v>
      </c>
      <c r="C5" s="3" t="s">
        <v>14</v>
      </c>
      <c r="D5" s="3" t="s">
        <v>15</v>
      </c>
      <c r="E5" s="4" t="s">
        <v>3</v>
      </c>
      <c r="F5" s="1"/>
      <c r="G5" s="5" t="s">
        <v>4</v>
      </c>
      <c r="H5" s="3">
        <v>1.51</v>
      </c>
      <c r="I5" s="3">
        <v>1.8</v>
      </c>
      <c r="J5" s="3">
        <v>50</v>
      </c>
      <c r="K5" s="3">
        <v>50</v>
      </c>
      <c r="L5" s="3">
        <v>75.5</v>
      </c>
      <c r="M5" s="6">
        <f t="shared" si="0"/>
        <v>90</v>
      </c>
      <c r="N5" s="8">
        <v>1</v>
      </c>
      <c r="O5" s="7" t="s">
        <v>16</v>
      </c>
      <c r="P5" s="7" t="s">
        <v>17</v>
      </c>
      <c r="Q5" s="7" t="s">
        <v>18</v>
      </c>
      <c r="R5" s="7"/>
      <c r="S5" s="7"/>
    </row>
    <row r="6" spans="1:19">
      <c r="A6" s="1">
        <v>17</v>
      </c>
      <c r="B6" s="2" t="s">
        <v>19</v>
      </c>
      <c r="C6" s="3" t="s">
        <v>20</v>
      </c>
      <c r="D6" s="3" t="s">
        <v>21</v>
      </c>
      <c r="E6" s="4" t="s">
        <v>3</v>
      </c>
      <c r="F6" s="1"/>
      <c r="G6" s="5" t="s">
        <v>4</v>
      </c>
      <c r="H6" s="3">
        <v>0.06</v>
      </c>
      <c r="I6" s="3">
        <v>7.0000000000000007E-2</v>
      </c>
      <c r="J6" s="3">
        <v>100</v>
      </c>
      <c r="K6" s="3">
        <v>100</v>
      </c>
      <c r="L6" s="11">
        <v>6</v>
      </c>
      <c r="M6" s="6">
        <f t="shared" si="0"/>
        <v>7.0000000000000009</v>
      </c>
      <c r="N6" s="8">
        <v>8</v>
      </c>
      <c r="O6" s="7" t="s">
        <v>22</v>
      </c>
      <c r="P6" s="10" t="s">
        <v>23</v>
      </c>
      <c r="Q6" s="7" t="s">
        <v>24</v>
      </c>
      <c r="R6" s="7" t="s">
        <v>25</v>
      </c>
      <c r="S6" s="7" t="s">
        <v>26</v>
      </c>
    </row>
    <row r="7" spans="1:19">
      <c r="A7" s="1">
        <v>18</v>
      </c>
      <c r="B7" s="2" t="s">
        <v>27</v>
      </c>
      <c r="C7" s="3" t="s">
        <v>28</v>
      </c>
      <c r="D7" s="3" t="s">
        <v>29</v>
      </c>
      <c r="E7" s="4" t="s">
        <v>3</v>
      </c>
      <c r="F7" s="1"/>
      <c r="G7" s="5" t="s">
        <v>4</v>
      </c>
      <c r="H7" s="3">
        <v>36.4</v>
      </c>
      <c r="I7" s="3">
        <v>43.32</v>
      </c>
      <c r="J7" s="3">
        <v>1</v>
      </c>
      <c r="K7" s="3">
        <v>1</v>
      </c>
      <c r="L7" s="11">
        <v>36.4</v>
      </c>
      <c r="M7" s="6">
        <f t="shared" si="0"/>
        <v>43.32</v>
      </c>
      <c r="N7" s="8">
        <v>1</v>
      </c>
      <c r="O7" s="7" t="s">
        <v>30</v>
      </c>
      <c r="P7" s="7" t="s">
        <v>25</v>
      </c>
      <c r="Q7" s="7" t="s">
        <v>31</v>
      </c>
      <c r="R7" s="7" t="s">
        <v>32</v>
      </c>
      <c r="S7" s="7"/>
    </row>
    <row r="8" spans="1:19">
      <c r="A8" s="1">
        <v>19</v>
      </c>
      <c r="B8" s="2" t="s">
        <v>33</v>
      </c>
      <c r="C8" s="3" t="s">
        <v>34</v>
      </c>
      <c r="D8" s="3" t="s">
        <v>35</v>
      </c>
      <c r="E8" s="4" t="s">
        <v>3</v>
      </c>
      <c r="F8" s="1"/>
      <c r="G8" s="5" t="s">
        <v>4</v>
      </c>
      <c r="H8" s="3">
        <v>4.54</v>
      </c>
      <c r="I8" s="3">
        <v>5.4</v>
      </c>
      <c r="J8" s="3">
        <v>4</v>
      </c>
      <c r="K8" s="3">
        <v>4</v>
      </c>
      <c r="L8" s="3">
        <v>18.16</v>
      </c>
      <c r="M8" s="6">
        <f t="shared" si="0"/>
        <v>21.6</v>
      </c>
      <c r="N8" s="8">
        <v>8</v>
      </c>
      <c r="O8" s="7" t="s">
        <v>36</v>
      </c>
      <c r="P8" s="7"/>
      <c r="Q8" s="7"/>
      <c r="R8" s="7"/>
      <c r="S8" s="7"/>
    </row>
    <row r="9" spans="1:19">
      <c r="A9" s="1">
        <v>20</v>
      </c>
      <c r="B9" s="2" t="s">
        <v>37</v>
      </c>
      <c r="C9" s="3" t="s">
        <v>34</v>
      </c>
      <c r="D9" s="3" t="s">
        <v>38</v>
      </c>
      <c r="E9" s="4" t="s">
        <v>3</v>
      </c>
      <c r="F9" s="1"/>
      <c r="G9" s="5" t="s">
        <v>4</v>
      </c>
      <c r="H9" s="3">
        <v>1.83</v>
      </c>
      <c r="I9" s="3">
        <v>2.1800000000000002</v>
      </c>
      <c r="J9" s="3">
        <v>16</v>
      </c>
      <c r="K9" s="3">
        <v>16</v>
      </c>
      <c r="L9" s="3">
        <v>29.28</v>
      </c>
      <c r="M9" s="6">
        <f t="shared" si="0"/>
        <v>34.880000000000003</v>
      </c>
      <c r="N9" s="8">
        <v>1</v>
      </c>
      <c r="O9" s="7" t="s">
        <v>39</v>
      </c>
      <c r="P9" s="7" t="s">
        <v>40</v>
      </c>
      <c r="Q9" s="7" t="s">
        <v>41</v>
      </c>
      <c r="R9" s="7" t="s">
        <v>42</v>
      </c>
      <c r="S9" s="7"/>
    </row>
    <row r="10" spans="1:19">
      <c r="A10" s="1">
        <v>21</v>
      </c>
      <c r="B10" s="2" t="s">
        <v>43</v>
      </c>
      <c r="C10" s="3" t="s">
        <v>44</v>
      </c>
      <c r="D10" s="3" t="s">
        <v>45</v>
      </c>
      <c r="E10" s="4" t="s">
        <v>3</v>
      </c>
      <c r="F10" s="1"/>
      <c r="G10" s="5" t="s">
        <v>4</v>
      </c>
      <c r="H10" s="3">
        <v>32.5</v>
      </c>
      <c r="I10" s="3">
        <v>38.68</v>
      </c>
      <c r="J10" s="3">
        <v>2</v>
      </c>
      <c r="K10" s="3">
        <v>2</v>
      </c>
      <c r="L10" s="11">
        <v>65</v>
      </c>
      <c r="M10" s="6">
        <f t="shared" si="0"/>
        <v>77.36</v>
      </c>
      <c r="N10" s="8">
        <v>10</v>
      </c>
      <c r="O10" s="7" t="s">
        <v>46</v>
      </c>
      <c r="P10" s="7" t="s">
        <v>47</v>
      </c>
      <c r="Q10" s="7"/>
      <c r="R10" s="7"/>
      <c r="S10" s="7"/>
    </row>
    <row r="11" spans="1:19">
      <c r="A11" s="1">
        <v>22</v>
      </c>
      <c r="B11" s="2" t="s">
        <v>48</v>
      </c>
      <c r="C11" s="3" t="s">
        <v>49</v>
      </c>
      <c r="D11" s="3" t="s">
        <v>50</v>
      </c>
      <c r="E11" s="4" t="s">
        <v>3</v>
      </c>
      <c r="F11" s="1"/>
      <c r="G11" s="5" t="s">
        <v>4</v>
      </c>
      <c r="H11" s="3">
        <v>38.1</v>
      </c>
      <c r="I11" s="3">
        <v>45.34</v>
      </c>
      <c r="J11" s="3">
        <v>2</v>
      </c>
      <c r="K11" s="3">
        <v>2</v>
      </c>
      <c r="L11" s="11">
        <v>76.2</v>
      </c>
      <c r="M11" s="6">
        <f t="shared" si="0"/>
        <v>90.68</v>
      </c>
      <c r="N11" s="8">
        <v>9</v>
      </c>
      <c r="O11" s="7" t="s">
        <v>51</v>
      </c>
      <c r="P11" s="7" t="s">
        <v>52</v>
      </c>
      <c r="Q11" s="7"/>
      <c r="R11" s="7"/>
      <c r="S11" s="7"/>
    </row>
    <row r="12" spans="1:19">
      <c r="A12" s="1">
        <v>23</v>
      </c>
      <c r="B12" s="2" t="s">
        <v>53</v>
      </c>
      <c r="C12" s="3" t="s">
        <v>54</v>
      </c>
      <c r="D12" s="3" t="s">
        <v>55</v>
      </c>
      <c r="E12" s="4" t="s">
        <v>3</v>
      </c>
      <c r="F12" s="1"/>
      <c r="G12" s="5" t="s">
        <v>4</v>
      </c>
      <c r="H12" s="3">
        <v>21.6</v>
      </c>
      <c r="I12" s="3">
        <v>25.7</v>
      </c>
      <c r="J12" s="3">
        <v>2</v>
      </c>
      <c r="K12" s="3">
        <v>2</v>
      </c>
      <c r="L12" s="11">
        <v>43.2</v>
      </c>
      <c r="M12" s="6">
        <f t="shared" si="0"/>
        <v>51.4</v>
      </c>
      <c r="N12" s="8">
        <v>3</v>
      </c>
      <c r="O12" s="7" t="s">
        <v>10</v>
      </c>
      <c r="P12" s="7" t="s">
        <v>11</v>
      </c>
      <c r="Q12" s="7" t="s">
        <v>56</v>
      </c>
      <c r="R12" s="7"/>
      <c r="S12" s="7"/>
    </row>
    <row r="13" spans="1:19">
      <c r="A13" s="1">
        <v>24</v>
      </c>
      <c r="B13" s="2" t="s">
        <v>57</v>
      </c>
      <c r="C13" s="3" t="s">
        <v>58</v>
      </c>
      <c r="D13" s="3" t="s">
        <v>59</v>
      </c>
      <c r="E13" s="4" t="s">
        <v>3</v>
      </c>
      <c r="F13" s="1"/>
      <c r="G13" s="5" t="s">
        <v>4</v>
      </c>
      <c r="H13" s="3">
        <v>2.12</v>
      </c>
      <c r="I13" s="3">
        <v>2.52</v>
      </c>
      <c r="J13" s="3">
        <v>10</v>
      </c>
      <c r="K13" s="3">
        <v>10</v>
      </c>
      <c r="L13" s="11">
        <v>21.200000000000003</v>
      </c>
      <c r="M13" s="6">
        <f t="shared" si="0"/>
        <v>25.2</v>
      </c>
      <c r="N13" s="8">
        <v>1</v>
      </c>
      <c r="O13" s="7" t="s">
        <v>39</v>
      </c>
      <c r="P13" s="7" t="s">
        <v>60</v>
      </c>
      <c r="Q13" s="7" t="s">
        <v>61</v>
      </c>
      <c r="R13" s="7" t="s">
        <v>42</v>
      </c>
      <c r="S13" s="7"/>
    </row>
    <row r="14" spans="1:19">
      <c r="A14" s="1">
        <v>25</v>
      </c>
      <c r="B14" s="2" t="s">
        <v>19</v>
      </c>
      <c r="C14" s="3" t="s">
        <v>20</v>
      </c>
      <c r="D14" s="3" t="s">
        <v>62</v>
      </c>
      <c r="E14" s="4" t="s">
        <v>3</v>
      </c>
      <c r="F14" s="1"/>
      <c r="G14" s="5" t="s">
        <v>4</v>
      </c>
      <c r="H14" s="3">
        <v>0.08</v>
      </c>
      <c r="I14" s="3">
        <v>0.1</v>
      </c>
      <c r="J14" s="3">
        <v>100</v>
      </c>
      <c r="K14" s="3">
        <v>100</v>
      </c>
      <c r="L14" s="3">
        <v>8</v>
      </c>
      <c r="M14" s="6">
        <f t="shared" si="0"/>
        <v>10</v>
      </c>
      <c r="N14" s="8">
        <v>8</v>
      </c>
      <c r="O14" s="7" t="s">
        <v>22</v>
      </c>
      <c r="P14" s="12" t="s">
        <v>63</v>
      </c>
      <c r="Q14" s="7" t="s">
        <v>64</v>
      </c>
      <c r="R14" s="7" t="s">
        <v>25</v>
      </c>
      <c r="S14" s="7" t="s">
        <v>26</v>
      </c>
    </row>
    <row r="15" spans="1:19">
      <c r="A15" s="1">
        <v>26</v>
      </c>
      <c r="B15" s="2" t="s">
        <v>65</v>
      </c>
      <c r="C15" s="3" t="s">
        <v>28</v>
      </c>
      <c r="D15" s="3" t="s">
        <v>66</v>
      </c>
      <c r="E15" s="4" t="s">
        <v>3</v>
      </c>
      <c r="F15" s="1"/>
      <c r="G15" s="5" t="s">
        <v>4</v>
      </c>
      <c r="H15" s="3">
        <v>0.43</v>
      </c>
      <c r="I15" s="3">
        <v>0.51</v>
      </c>
      <c r="J15" s="3">
        <v>100</v>
      </c>
      <c r="K15" s="3">
        <v>100</v>
      </c>
      <c r="L15" s="3">
        <v>43</v>
      </c>
      <c r="M15" s="6">
        <f t="shared" si="0"/>
        <v>51</v>
      </c>
      <c r="N15" s="8">
        <v>1</v>
      </c>
      <c r="O15" s="7" t="s">
        <v>67</v>
      </c>
      <c r="P15" s="7" t="s">
        <v>25</v>
      </c>
      <c r="Q15" s="7" t="s">
        <v>31</v>
      </c>
      <c r="R15" s="7" t="s">
        <v>68</v>
      </c>
      <c r="S15" s="7"/>
    </row>
    <row r="16" spans="1:19">
      <c r="A16" s="1">
        <v>27</v>
      </c>
      <c r="B16" s="2" t="s">
        <v>69</v>
      </c>
      <c r="C16" s="3" t="s">
        <v>70</v>
      </c>
      <c r="D16" s="3" t="s">
        <v>71</v>
      </c>
      <c r="E16" s="4" t="s">
        <v>3</v>
      </c>
      <c r="F16" s="1"/>
      <c r="G16" s="5" t="s">
        <v>4</v>
      </c>
      <c r="H16" s="3">
        <v>14.69</v>
      </c>
      <c r="I16" s="3">
        <v>17.48</v>
      </c>
      <c r="J16" s="3">
        <v>1</v>
      </c>
      <c r="K16" s="3">
        <v>1</v>
      </c>
      <c r="L16" s="3">
        <v>14.69</v>
      </c>
      <c r="M16" s="6">
        <f t="shared" si="0"/>
        <v>17.48</v>
      </c>
      <c r="N16" s="8">
        <v>8</v>
      </c>
      <c r="O16" s="7" t="s">
        <v>72</v>
      </c>
      <c r="P16" s="7" t="s">
        <v>73</v>
      </c>
      <c r="Q16" s="7" t="s">
        <v>74</v>
      </c>
      <c r="R16" s="10" t="s">
        <v>75</v>
      </c>
      <c r="S16" s="7" t="s">
        <v>76</v>
      </c>
    </row>
    <row r="17" spans="1:19">
      <c r="A17" s="1">
        <v>28</v>
      </c>
      <c r="B17" s="13" t="s">
        <v>77</v>
      </c>
      <c r="C17" s="3" t="s">
        <v>78</v>
      </c>
      <c r="D17" s="14" t="s">
        <v>79</v>
      </c>
      <c r="E17" s="4" t="s">
        <v>3</v>
      </c>
      <c r="F17" s="1"/>
      <c r="G17" s="5" t="s">
        <v>4</v>
      </c>
      <c r="H17" s="3">
        <v>38</v>
      </c>
      <c r="I17" s="3">
        <v>45.22</v>
      </c>
      <c r="J17" s="3">
        <v>1</v>
      </c>
      <c r="K17" s="3">
        <v>1</v>
      </c>
      <c r="L17" s="3">
        <v>38</v>
      </c>
      <c r="M17" s="6">
        <f t="shared" si="0"/>
        <v>45.22</v>
      </c>
      <c r="N17" s="8">
        <v>3</v>
      </c>
      <c r="O17" s="7" t="s">
        <v>80</v>
      </c>
      <c r="P17" s="7" t="s">
        <v>81</v>
      </c>
      <c r="Q17" s="7" t="s">
        <v>82</v>
      </c>
      <c r="R17" s="7" t="s">
        <v>83</v>
      </c>
      <c r="S17" s="7"/>
    </row>
    <row r="18" spans="1:19">
      <c r="A18" s="1">
        <v>29</v>
      </c>
      <c r="B18" s="13" t="s">
        <v>84</v>
      </c>
      <c r="C18" s="3" t="s">
        <v>85</v>
      </c>
      <c r="D18" s="3" t="s">
        <v>86</v>
      </c>
      <c r="E18" s="4" t="s">
        <v>3</v>
      </c>
      <c r="F18" s="1"/>
      <c r="G18" s="5" t="s">
        <v>4</v>
      </c>
      <c r="H18" s="3">
        <v>30.4</v>
      </c>
      <c r="I18" s="3">
        <v>32.75</v>
      </c>
      <c r="J18" s="3">
        <v>2</v>
      </c>
      <c r="K18" s="3">
        <v>2</v>
      </c>
      <c r="L18" s="3">
        <v>60.8</v>
      </c>
      <c r="M18" s="6">
        <f t="shared" si="0"/>
        <v>65.5</v>
      </c>
      <c r="N18" s="8">
        <v>3</v>
      </c>
      <c r="O18" s="7" t="s">
        <v>87</v>
      </c>
      <c r="P18" s="7" t="s">
        <v>88</v>
      </c>
      <c r="Q18" s="7" t="s">
        <v>89</v>
      </c>
      <c r="R18" s="7" t="s">
        <v>90</v>
      </c>
      <c r="S18" s="7"/>
    </row>
    <row r="19" spans="1:19">
      <c r="A19" s="1">
        <v>30</v>
      </c>
      <c r="B19" s="13" t="s">
        <v>91</v>
      </c>
      <c r="C19" s="3" t="s">
        <v>92</v>
      </c>
      <c r="D19" s="3" t="s">
        <v>93</v>
      </c>
      <c r="E19" s="4" t="s">
        <v>3</v>
      </c>
      <c r="F19" s="1"/>
      <c r="G19" s="5" t="s">
        <v>4</v>
      </c>
      <c r="H19" s="3">
        <v>5</v>
      </c>
      <c r="I19" s="3">
        <v>5.95</v>
      </c>
      <c r="J19" s="3">
        <v>2</v>
      </c>
      <c r="K19" s="3">
        <v>2</v>
      </c>
      <c r="L19" s="3">
        <v>10</v>
      </c>
      <c r="M19" s="6">
        <f t="shared" si="0"/>
        <v>11.9</v>
      </c>
      <c r="N19" s="8">
        <v>3</v>
      </c>
      <c r="O19" s="7" t="s">
        <v>94</v>
      </c>
      <c r="P19" s="7"/>
      <c r="Q19" s="7"/>
      <c r="R19" s="7"/>
      <c r="S19" s="7"/>
    </row>
    <row r="20" spans="1:19">
      <c r="A20" s="1">
        <v>31</v>
      </c>
      <c r="B20" s="13" t="s">
        <v>95</v>
      </c>
      <c r="C20" s="3" t="s">
        <v>96</v>
      </c>
      <c r="D20" s="3" t="s">
        <v>97</v>
      </c>
      <c r="E20" s="4" t="s">
        <v>3</v>
      </c>
      <c r="F20" s="1"/>
      <c r="G20" s="5" t="s">
        <v>4</v>
      </c>
      <c r="H20" s="3">
        <v>14.8</v>
      </c>
      <c r="I20" s="3">
        <v>17.61</v>
      </c>
      <c r="J20" s="3">
        <v>4</v>
      </c>
      <c r="K20" s="3">
        <v>4</v>
      </c>
      <c r="L20" s="3">
        <v>59.2</v>
      </c>
      <c r="M20" s="6">
        <f t="shared" si="0"/>
        <v>70.44</v>
      </c>
      <c r="N20" s="8">
        <v>3</v>
      </c>
      <c r="O20" s="7" t="s">
        <v>98</v>
      </c>
      <c r="P20" s="7" t="s">
        <v>99</v>
      </c>
      <c r="Q20" s="7" t="s">
        <v>100</v>
      </c>
      <c r="R20" s="7"/>
      <c r="S20" s="7"/>
    </row>
    <row r="21" spans="1:19">
      <c r="A21" s="1">
        <v>32</v>
      </c>
      <c r="B21" s="13" t="s">
        <v>101</v>
      </c>
      <c r="C21" s="3" t="s">
        <v>102</v>
      </c>
      <c r="D21" s="3" t="s">
        <v>103</v>
      </c>
      <c r="E21" s="4" t="s">
        <v>3</v>
      </c>
      <c r="F21" s="1"/>
      <c r="G21" s="5" t="s">
        <v>4</v>
      </c>
      <c r="H21" s="3">
        <v>2.1</v>
      </c>
      <c r="I21" s="3">
        <v>2.5</v>
      </c>
      <c r="J21" s="3">
        <v>27</v>
      </c>
      <c r="K21" s="3">
        <v>30</v>
      </c>
      <c r="L21" s="3">
        <v>56.7</v>
      </c>
      <c r="M21" s="6">
        <f t="shared" si="0"/>
        <v>67.5</v>
      </c>
      <c r="N21" s="8">
        <v>3</v>
      </c>
      <c r="O21" s="7" t="s">
        <v>104</v>
      </c>
      <c r="P21" s="7" t="s">
        <v>105</v>
      </c>
      <c r="Q21" s="7" t="s">
        <v>106</v>
      </c>
      <c r="R21" s="7"/>
      <c r="S21" s="7"/>
    </row>
    <row r="22" spans="1:19">
      <c r="A22" s="1">
        <v>33</v>
      </c>
      <c r="B22" s="13" t="s">
        <v>107</v>
      </c>
      <c r="C22" s="3" t="s">
        <v>108</v>
      </c>
      <c r="D22" s="3" t="s">
        <v>109</v>
      </c>
      <c r="E22" s="4" t="s">
        <v>3</v>
      </c>
      <c r="F22" s="1"/>
      <c r="G22" s="5" t="s">
        <v>4</v>
      </c>
      <c r="H22" s="3">
        <v>2.2999999999999998</v>
      </c>
      <c r="I22" s="3">
        <v>2.74</v>
      </c>
      <c r="J22" s="3">
        <v>20</v>
      </c>
      <c r="K22" s="3">
        <v>20</v>
      </c>
      <c r="L22" s="3">
        <v>46</v>
      </c>
      <c r="M22" s="6">
        <f t="shared" si="0"/>
        <v>54.800000000000004</v>
      </c>
      <c r="N22" s="8">
        <v>3</v>
      </c>
      <c r="O22" s="7" t="s">
        <v>82</v>
      </c>
      <c r="P22" s="7" t="s">
        <v>110</v>
      </c>
      <c r="Q22" s="7" t="s">
        <v>111</v>
      </c>
      <c r="R22" s="7"/>
      <c r="S22" s="7"/>
    </row>
    <row r="23" spans="1:19">
      <c r="A23" s="1">
        <v>34</v>
      </c>
      <c r="B23" s="13" t="s">
        <v>112</v>
      </c>
      <c r="C23" s="3" t="s">
        <v>113</v>
      </c>
      <c r="D23" s="3" t="s">
        <v>114</v>
      </c>
      <c r="E23" s="4" t="s">
        <v>3</v>
      </c>
      <c r="F23" s="1"/>
      <c r="G23" s="5" t="s">
        <v>4</v>
      </c>
      <c r="H23" s="3">
        <v>0.7</v>
      </c>
      <c r="I23" s="3">
        <v>0.83</v>
      </c>
      <c r="J23" s="3">
        <v>50</v>
      </c>
      <c r="K23" s="3">
        <v>50</v>
      </c>
      <c r="L23" s="3">
        <v>35</v>
      </c>
      <c r="M23" s="6">
        <f t="shared" si="0"/>
        <v>41.5</v>
      </c>
      <c r="N23" s="8">
        <v>3</v>
      </c>
      <c r="O23" s="7" t="s">
        <v>115</v>
      </c>
      <c r="P23" s="7" t="s">
        <v>116</v>
      </c>
      <c r="Q23" s="7" t="s">
        <v>117</v>
      </c>
      <c r="R23" s="7"/>
      <c r="S23" s="7"/>
    </row>
    <row r="24" spans="1:19">
      <c r="A24" s="1">
        <v>35</v>
      </c>
      <c r="B24" s="13" t="s">
        <v>112</v>
      </c>
      <c r="C24" s="3" t="s">
        <v>118</v>
      </c>
      <c r="D24" s="3" t="s">
        <v>119</v>
      </c>
      <c r="E24" s="4" t="s">
        <v>3</v>
      </c>
      <c r="F24" s="1"/>
      <c r="G24" s="5" t="s">
        <v>4</v>
      </c>
      <c r="H24" s="3">
        <v>0.7</v>
      </c>
      <c r="I24" s="3">
        <v>0.83</v>
      </c>
      <c r="J24" s="3">
        <v>50</v>
      </c>
      <c r="K24" s="3">
        <v>50</v>
      </c>
      <c r="L24" s="3">
        <v>35</v>
      </c>
      <c r="M24" s="6">
        <f t="shared" si="0"/>
        <v>41.5</v>
      </c>
      <c r="N24" s="8"/>
      <c r="O24" s="7"/>
      <c r="P24" s="7"/>
      <c r="Q24" s="7"/>
      <c r="R24" s="7"/>
      <c r="S24" s="7"/>
    </row>
    <row r="25" spans="1:19">
      <c r="A25" s="1">
        <v>36</v>
      </c>
      <c r="B25" s="13" t="s">
        <v>112</v>
      </c>
      <c r="C25" s="3" t="s">
        <v>120</v>
      </c>
      <c r="D25" s="3" t="s">
        <v>121</v>
      </c>
      <c r="E25" s="4" t="s">
        <v>3</v>
      </c>
      <c r="F25" s="1"/>
      <c r="G25" s="5" t="s">
        <v>4</v>
      </c>
      <c r="H25" s="3">
        <v>0.7</v>
      </c>
      <c r="I25" s="3">
        <v>0.83</v>
      </c>
      <c r="J25" s="3">
        <v>50</v>
      </c>
      <c r="K25" s="3">
        <v>50</v>
      </c>
      <c r="L25" s="3">
        <v>35</v>
      </c>
      <c r="M25" s="6">
        <f t="shared" si="0"/>
        <v>41.5</v>
      </c>
      <c r="N25" s="8"/>
      <c r="O25" s="7"/>
      <c r="P25" s="7"/>
      <c r="Q25" s="7"/>
      <c r="R25" s="7"/>
      <c r="S25" s="7"/>
    </row>
    <row r="26" spans="1:19">
      <c r="A26" s="1">
        <v>37</v>
      </c>
      <c r="B26" s="13" t="s">
        <v>122</v>
      </c>
      <c r="C26" s="3" t="s">
        <v>123</v>
      </c>
      <c r="D26" s="3" t="s">
        <v>124</v>
      </c>
      <c r="E26" s="4" t="s">
        <v>3</v>
      </c>
      <c r="F26" s="1"/>
      <c r="G26" s="5" t="s">
        <v>4</v>
      </c>
      <c r="H26" s="3">
        <v>6.5</v>
      </c>
      <c r="I26" s="3">
        <v>7.74</v>
      </c>
      <c r="J26" s="3">
        <v>3</v>
      </c>
      <c r="K26" s="3">
        <v>3</v>
      </c>
      <c r="L26" s="3">
        <v>19.5</v>
      </c>
      <c r="M26" s="6">
        <f t="shared" si="0"/>
        <v>23.22</v>
      </c>
      <c r="N26" s="8"/>
      <c r="O26" s="7"/>
      <c r="P26" s="7"/>
      <c r="Q26" s="7"/>
      <c r="R26" s="7"/>
      <c r="S26" s="7"/>
    </row>
    <row r="27" spans="1:19">
      <c r="A27" s="1">
        <v>38</v>
      </c>
      <c r="B27" s="2" t="s">
        <v>125</v>
      </c>
      <c r="C27" s="3" t="s">
        <v>126</v>
      </c>
      <c r="D27" s="15" t="s">
        <v>127</v>
      </c>
      <c r="E27" s="4" t="s">
        <v>3</v>
      </c>
      <c r="F27" s="1"/>
      <c r="G27" s="5" t="s">
        <v>4</v>
      </c>
      <c r="H27" s="3">
        <v>0.67</v>
      </c>
      <c r="I27" s="3">
        <v>0.8</v>
      </c>
      <c r="J27" s="3">
        <v>20</v>
      </c>
      <c r="K27" s="3">
        <v>20</v>
      </c>
      <c r="L27" s="3">
        <v>13.4</v>
      </c>
      <c r="M27" s="6">
        <f t="shared" si="0"/>
        <v>16</v>
      </c>
      <c r="N27" s="8"/>
      <c r="O27" s="7"/>
      <c r="P27" s="7"/>
      <c r="Q27" s="7"/>
      <c r="R27" s="7"/>
      <c r="S27" s="7"/>
    </row>
    <row r="28" spans="1:19">
      <c r="A28" s="1">
        <v>39</v>
      </c>
      <c r="B28" s="2" t="s">
        <v>19</v>
      </c>
      <c r="C28" s="3" t="s">
        <v>128</v>
      </c>
      <c r="D28" s="15" t="s">
        <v>129</v>
      </c>
      <c r="E28" s="4" t="s">
        <v>3</v>
      </c>
      <c r="F28" s="1"/>
      <c r="G28" s="5" t="s">
        <v>4</v>
      </c>
      <c r="H28" s="3">
        <v>0.32</v>
      </c>
      <c r="I28" s="3">
        <v>0.38</v>
      </c>
      <c r="J28" s="3">
        <v>20</v>
      </c>
      <c r="K28" s="3">
        <v>20</v>
      </c>
      <c r="L28" s="3">
        <v>6.4</v>
      </c>
      <c r="M28" s="6">
        <f t="shared" si="0"/>
        <v>7.6</v>
      </c>
      <c r="N28" s="8"/>
      <c r="O28" s="7"/>
      <c r="P28" s="7"/>
      <c r="Q28" s="7"/>
      <c r="R28" s="7"/>
      <c r="S28" s="7"/>
    </row>
    <row r="29" spans="1:19">
      <c r="A29" s="1">
        <v>40</v>
      </c>
      <c r="B29" s="2" t="s">
        <v>130</v>
      </c>
      <c r="C29" s="3" t="s">
        <v>131</v>
      </c>
      <c r="D29" s="15" t="s">
        <v>132</v>
      </c>
      <c r="E29" s="4" t="s">
        <v>3</v>
      </c>
      <c r="F29" s="1"/>
      <c r="G29" s="5" t="s">
        <v>4</v>
      </c>
      <c r="H29" s="3">
        <v>69.8</v>
      </c>
      <c r="I29" s="3">
        <v>83.06</v>
      </c>
      <c r="J29" s="3">
        <v>1</v>
      </c>
      <c r="K29" s="3">
        <v>1</v>
      </c>
      <c r="L29" s="3">
        <v>69.8</v>
      </c>
      <c r="M29" s="6">
        <f t="shared" si="0"/>
        <v>83.06</v>
      </c>
      <c r="N29" s="8">
        <v>3</v>
      </c>
      <c r="O29" s="7"/>
      <c r="P29" s="7"/>
      <c r="Q29" s="7"/>
      <c r="R29" s="7"/>
      <c r="S29" s="7"/>
    </row>
    <row r="30" spans="1:19">
      <c r="A30" s="1">
        <v>41</v>
      </c>
      <c r="B30" s="2" t="s">
        <v>133</v>
      </c>
      <c r="C30" s="3" t="s">
        <v>58</v>
      </c>
      <c r="D30" s="15" t="s">
        <v>134</v>
      </c>
      <c r="E30" s="4" t="s">
        <v>3</v>
      </c>
      <c r="F30" s="1"/>
      <c r="G30" s="5" t="s">
        <v>4</v>
      </c>
      <c r="H30" s="3">
        <v>4.2300000000000004</v>
      </c>
      <c r="I30" s="3">
        <v>5.03</v>
      </c>
      <c r="J30" s="3">
        <v>2</v>
      </c>
      <c r="K30" s="3">
        <v>2</v>
      </c>
      <c r="L30" s="3">
        <v>8.4600000000000009</v>
      </c>
      <c r="M30" s="6">
        <f t="shared" si="0"/>
        <v>10.06</v>
      </c>
      <c r="N30" s="8"/>
      <c r="O30" s="7"/>
      <c r="P30" s="7"/>
      <c r="Q30" s="7"/>
      <c r="R30" s="7"/>
      <c r="S30" s="7"/>
    </row>
    <row r="31" spans="1:19">
      <c r="A31" s="1">
        <v>42</v>
      </c>
      <c r="B31" s="2" t="s">
        <v>135</v>
      </c>
      <c r="C31" s="3" t="s">
        <v>136</v>
      </c>
      <c r="D31" s="15" t="s">
        <v>137</v>
      </c>
      <c r="E31" s="4" t="s">
        <v>3</v>
      </c>
      <c r="F31" s="1"/>
      <c r="G31" s="5" t="s">
        <v>4</v>
      </c>
      <c r="H31" s="3">
        <v>0.6</v>
      </c>
      <c r="I31" s="3">
        <v>0.71</v>
      </c>
      <c r="J31" s="3">
        <v>40</v>
      </c>
      <c r="K31" s="3">
        <v>40</v>
      </c>
      <c r="L31" s="3">
        <v>24</v>
      </c>
      <c r="M31" s="6">
        <f t="shared" si="0"/>
        <v>28.4</v>
      </c>
      <c r="N31" s="8"/>
      <c r="O31" s="7"/>
      <c r="P31" s="7"/>
      <c r="Q31" s="7"/>
      <c r="R31" s="7"/>
      <c r="S31" s="7"/>
    </row>
    <row r="32" spans="1:19">
      <c r="A32" s="1">
        <v>43</v>
      </c>
      <c r="B32" s="2" t="s">
        <v>125</v>
      </c>
      <c r="C32" s="3" t="s">
        <v>138</v>
      </c>
      <c r="D32" s="15" t="s">
        <v>139</v>
      </c>
      <c r="E32" s="4" t="s">
        <v>3</v>
      </c>
      <c r="F32" s="1"/>
      <c r="G32" s="5" t="s">
        <v>4</v>
      </c>
      <c r="H32" s="3">
        <v>0.67</v>
      </c>
      <c r="I32" s="3">
        <v>0.8</v>
      </c>
      <c r="J32" s="3">
        <v>20</v>
      </c>
      <c r="K32" s="3">
        <v>20</v>
      </c>
      <c r="L32" s="3">
        <v>13.4</v>
      </c>
      <c r="M32" s="6">
        <f t="shared" si="0"/>
        <v>16</v>
      </c>
      <c r="N32" s="8"/>
      <c r="O32" s="7"/>
      <c r="P32" s="7"/>
      <c r="Q32" s="7"/>
      <c r="R32" s="7"/>
      <c r="S32" s="7"/>
    </row>
    <row r="33" spans="1:19">
      <c r="A33" s="1">
        <v>44</v>
      </c>
      <c r="B33" s="2" t="s">
        <v>140</v>
      </c>
      <c r="C33" s="3" t="s">
        <v>141</v>
      </c>
      <c r="D33" s="15" t="s">
        <v>142</v>
      </c>
      <c r="E33" s="4" t="s">
        <v>3</v>
      </c>
      <c r="F33" s="1"/>
      <c r="G33" s="5" t="s">
        <v>4</v>
      </c>
      <c r="H33" s="3">
        <v>1.65</v>
      </c>
      <c r="I33" s="3">
        <v>1.96</v>
      </c>
      <c r="J33" s="3">
        <v>10</v>
      </c>
      <c r="K33" s="3">
        <v>10</v>
      </c>
      <c r="L33" s="3">
        <v>16.5</v>
      </c>
      <c r="M33" s="6">
        <f t="shared" si="0"/>
        <v>19.600000000000001</v>
      </c>
      <c r="N33" s="8"/>
      <c r="O33" s="7"/>
      <c r="P33" s="7"/>
      <c r="Q33" s="7"/>
      <c r="R33" s="7"/>
      <c r="S33" s="7"/>
    </row>
    <row r="34" spans="1:19">
      <c r="A34" s="1">
        <v>45</v>
      </c>
      <c r="B34" s="2" t="s">
        <v>143</v>
      </c>
      <c r="C34" s="3" t="s">
        <v>144</v>
      </c>
      <c r="D34" s="3" t="s">
        <v>145</v>
      </c>
      <c r="E34" s="4" t="s">
        <v>3</v>
      </c>
      <c r="F34" s="1"/>
      <c r="G34" s="5" t="s">
        <v>4</v>
      </c>
      <c r="H34" s="3">
        <v>0.33</v>
      </c>
      <c r="I34" s="3">
        <v>0.39</v>
      </c>
      <c r="J34" s="3">
        <v>10</v>
      </c>
      <c r="K34" s="3">
        <v>10</v>
      </c>
      <c r="L34" s="3">
        <v>3.3000000000000003</v>
      </c>
      <c r="M34" s="6">
        <f t="shared" si="0"/>
        <v>3.9000000000000004</v>
      </c>
      <c r="N34" s="7"/>
      <c r="O34" s="7"/>
      <c r="P34" s="7"/>
      <c r="Q34" s="7"/>
      <c r="R34" s="7"/>
      <c r="S34" s="7"/>
    </row>
    <row r="35" spans="1:19">
      <c r="A35" s="1">
        <v>46</v>
      </c>
      <c r="B35" s="2" t="s">
        <v>146</v>
      </c>
      <c r="C35" s="3"/>
      <c r="D35" s="3" t="s">
        <v>147</v>
      </c>
      <c r="E35" s="4" t="s">
        <v>3</v>
      </c>
      <c r="F35" s="1"/>
      <c r="G35" s="16" t="s">
        <v>4</v>
      </c>
      <c r="H35" s="3">
        <v>5.04</v>
      </c>
      <c r="I35" s="3">
        <v>6</v>
      </c>
      <c r="J35" s="3">
        <v>10</v>
      </c>
      <c r="K35" s="3">
        <v>10</v>
      </c>
      <c r="L35" s="3">
        <v>50.4</v>
      </c>
      <c r="M35" s="6">
        <f t="shared" si="0"/>
        <v>60</v>
      </c>
      <c r="N35" s="7"/>
      <c r="O35" s="7"/>
      <c r="P35" s="7"/>
      <c r="Q35" s="7"/>
      <c r="R35" s="7"/>
      <c r="S35" s="7"/>
    </row>
    <row r="36" spans="1:19">
      <c r="A36" s="1">
        <v>47</v>
      </c>
      <c r="B36" s="2" t="s">
        <v>135</v>
      </c>
      <c r="C36" s="3" t="s">
        <v>148</v>
      </c>
      <c r="D36" s="3" t="s">
        <v>149</v>
      </c>
      <c r="E36" s="4" t="s">
        <v>3</v>
      </c>
      <c r="F36" s="1"/>
      <c r="G36" s="16" t="s">
        <v>4</v>
      </c>
      <c r="H36" s="3">
        <v>0.6</v>
      </c>
      <c r="I36" s="3">
        <v>0.71</v>
      </c>
      <c r="J36" s="3">
        <v>20</v>
      </c>
      <c r="K36" s="3">
        <v>20</v>
      </c>
      <c r="L36" s="3"/>
      <c r="M36" s="6">
        <f t="shared" si="0"/>
        <v>14.2</v>
      </c>
      <c r="N36" s="7"/>
      <c r="O36" s="7"/>
      <c r="P36" s="7"/>
      <c r="Q36" s="7"/>
      <c r="R36" s="7"/>
      <c r="S36" s="7"/>
    </row>
    <row r="37" spans="1:19">
      <c r="A37" s="1">
        <v>48</v>
      </c>
      <c r="B37" s="2" t="s">
        <v>150</v>
      </c>
      <c r="C37" s="3" t="s">
        <v>148</v>
      </c>
      <c r="D37" s="3" t="s">
        <v>151</v>
      </c>
      <c r="E37" s="4" t="s">
        <v>3</v>
      </c>
      <c r="F37" s="1"/>
      <c r="G37" s="16" t="s">
        <v>4</v>
      </c>
      <c r="H37" s="3">
        <v>0.68</v>
      </c>
      <c r="I37" s="3">
        <v>0.81</v>
      </c>
      <c r="J37" s="3">
        <v>20</v>
      </c>
      <c r="K37" s="3">
        <v>20</v>
      </c>
      <c r="L37" s="3"/>
      <c r="M37" s="6">
        <f t="shared" si="0"/>
        <v>16.200000000000003</v>
      </c>
      <c r="N37" s="7"/>
      <c r="O37" s="7"/>
      <c r="P37" s="7"/>
      <c r="Q37" s="7"/>
      <c r="R37" s="7"/>
      <c r="S37" s="7"/>
    </row>
    <row r="38" spans="1:19">
      <c r="A38" s="1">
        <v>49</v>
      </c>
      <c r="B38" s="2" t="s">
        <v>152</v>
      </c>
      <c r="C38" s="3" t="s">
        <v>153</v>
      </c>
      <c r="D38" s="3" t="s">
        <v>154</v>
      </c>
      <c r="E38" s="4" t="s">
        <v>3</v>
      </c>
      <c r="F38" s="1"/>
      <c r="G38" s="16" t="s">
        <v>4</v>
      </c>
      <c r="H38" s="3">
        <v>0.68</v>
      </c>
      <c r="I38" s="3">
        <v>0.81</v>
      </c>
      <c r="J38" s="3">
        <v>20</v>
      </c>
      <c r="K38" s="3">
        <v>20</v>
      </c>
      <c r="L38" s="3"/>
      <c r="M38" s="6">
        <f t="shared" si="0"/>
        <v>16.200000000000003</v>
      </c>
      <c r="N38" s="7"/>
      <c r="O38" s="7"/>
      <c r="P38" s="7"/>
      <c r="Q38" s="7"/>
      <c r="R38" s="7"/>
      <c r="S38" s="7"/>
    </row>
    <row r="39" spans="1:19">
      <c r="A39" s="1">
        <v>50</v>
      </c>
      <c r="B39" s="2" t="s">
        <v>19</v>
      </c>
      <c r="C39" s="3" t="s">
        <v>155</v>
      </c>
      <c r="D39" s="3" t="s">
        <v>156</v>
      </c>
      <c r="E39" s="4" t="s">
        <v>3</v>
      </c>
      <c r="F39" s="1"/>
      <c r="G39" s="16" t="s">
        <v>4</v>
      </c>
      <c r="H39" s="3">
        <v>0.38</v>
      </c>
      <c r="I39" s="3">
        <v>0.45</v>
      </c>
      <c r="J39" s="3">
        <v>20</v>
      </c>
      <c r="K39" s="3">
        <v>20</v>
      </c>
      <c r="L39" s="3"/>
      <c r="M39" s="6">
        <f t="shared" si="0"/>
        <v>9</v>
      </c>
      <c r="N39" s="7"/>
      <c r="O39" s="7"/>
      <c r="P39" s="7"/>
      <c r="Q39" s="7"/>
      <c r="R39" s="7"/>
      <c r="S39" s="7"/>
    </row>
    <row r="40" spans="1:19">
      <c r="A40" s="1">
        <v>51</v>
      </c>
      <c r="B40" s="2" t="s">
        <v>157</v>
      </c>
      <c r="C40" s="3" t="s">
        <v>158</v>
      </c>
      <c r="D40" s="3" t="s">
        <v>159</v>
      </c>
      <c r="E40" s="4" t="s">
        <v>3</v>
      </c>
      <c r="F40" s="1"/>
      <c r="G40" s="16" t="s">
        <v>4</v>
      </c>
      <c r="H40" s="3">
        <v>0.28999999999999998</v>
      </c>
      <c r="I40" s="3">
        <v>0.35</v>
      </c>
      <c r="J40" s="3">
        <v>40</v>
      </c>
      <c r="K40" s="3">
        <v>40</v>
      </c>
      <c r="L40" s="3"/>
      <c r="M40" s="6">
        <f t="shared" si="0"/>
        <v>14</v>
      </c>
      <c r="N40" s="7"/>
      <c r="O40" s="7"/>
      <c r="P40" s="7"/>
      <c r="Q40" s="7"/>
      <c r="R40" s="7"/>
      <c r="S40" s="7"/>
    </row>
    <row r="41" spans="1:19">
      <c r="A41" s="1">
        <v>52</v>
      </c>
      <c r="B41" s="2" t="s">
        <v>157</v>
      </c>
      <c r="C41" s="3" t="s">
        <v>160</v>
      </c>
      <c r="D41" s="15" t="s">
        <v>161</v>
      </c>
      <c r="E41" s="4" t="s">
        <v>3</v>
      </c>
      <c r="F41" s="1"/>
      <c r="G41" s="16" t="s">
        <v>4</v>
      </c>
      <c r="H41" s="3">
        <v>0.28999999999999998</v>
      </c>
      <c r="I41" s="3">
        <v>0.35</v>
      </c>
      <c r="J41" s="3">
        <v>40</v>
      </c>
      <c r="K41" s="3">
        <v>40</v>
      </c>
      <c r="L41" s="3"/>
      <c r="M41" s="6">
        <f t="shared" si="0"/>
        <v>14</v>
      </c>
      <c r="N41" s="7"/>
      <c r="O41" s="7"/>
      <c r="P41" s="7"/>
      <c r="Q41" s="7"/>
      <c r="R41" s="7"/>
      <c r="S41" s="7"/>
    </row>
    <row r="42" spans="1:19">
      <c r="A42" s="1">
        <v>53</v>
      </c>
      <c r="B42" s="2" t="s">
        <v>157</v>
      </c>
      <c r="C42" s="3" t="s">
        <v>162</v>
      </c>
      <c r="D42" s="3" t="s">
        <v>163</v>
      </c>
      <c r="E42" s="4" t="s">
        <v>3</v>
      </c>
      <c r="F42" s="1"/>
      <c r="G42" s="16" t="s">
        <v>4</v>
      </c>
      <c r="H42" s="3">
        <v>0.15</v>
      </c>
      <c r="I42" s="3">
        <v>0.18</v>
      </c>
      <c r="J42" s="3">
        <v>40</v>
      </c>
      <c r="K42" s="3">
        <v>40</v>
      </c>
      <c r="L42" s="3"/>
      <c r="M42" s="6">
        <f t="shared" si="0"/>
        <v>7.1999999999999993</v>
      </c>
      <c r="N42" s="7"/>
      <c r="O42" s="7"/>
      <c r="P42" s="7"/>
      <c r="Q42" s="7"/>
      <c r="R42" s="7"/>
      <c r="S42" s="7"/>
    </row>
    <row r="43" spans="1:19">
      <c r="A43" s="1">
        <v>54</v>
      </c>
      <c r="B43" s="2" t="s">
        <v>164</v>
      </c>
      <c r="C43" s="3" t="s">
        <v>165</v>
      </c>
      <c r="D43" s="3" t="s">
        <v>166</v>
      </c>
      <c r="E43" s="4" t="s">
        <v>3</v>
      </c>
      <c r="F43" s="1"/>
      <c r="G43" s="16" t="s">
        <v>4</v>
      </c>
      <c r="H43" s="3">
        <v>3.97</v>
      </c>
      <c r="I43" s="3">
        <v>4.72</v>
      </c>
      <c r="J43" s="3">
        <v>6</v>
      </c>
      <c r="K43" s="3">
        <v>6</v>
      </c>
      <c r="L43" s="3"/>
      <c r="M43" s="6">
        <f t="shared" si="0"/>
        <v>28.32</v>
      </c>
      <c r="N43" s="7"/>
      <c r="O43" s="7"/>
      <c r="P43" s="7"/>
      <c r="Q43" s="7"/>
      <c r="R43" s="7"/>
      <c r="S43" s="7"/>
    </row>
    <row r="44" spans="1:19">
      <c r="A44" s="1">
        <v>55</v>
      </c>
      <c r="B44" s="2" t="s">
        <v>167</v>
      </c>
      <c r="C44" s="3"/>
      <c r="D44" s="3" t="s">
        <v>168</v>
      </c>
      <c r="E44" s="4" t="s">
        <v>3</v>
      </c>
      <c r="F44" s="1"/>
      <c r="G44" s="16" t="s">
        <v>4</v>
      </c>
      <c r="H44" s="3">
        <v>11.76</v>
      </c>
      <c r="I44" s="3">
        <v>13.99</v>
      </c>
      <c r="J44" s="3">
        <v>1</v>
      </c>
      <c r="K44" s="3">
        <v>1</v>
      </c>
      <c r="L44" s="3"/>
      <c r="M44" s="6">
        <f t="shared" si="0"/>
        <v>13.99</v>
      </c>
      <c r="N44" s="7"/>
      <c r="O44" s="7"/>
      <c r="P44" s="7"/>
      <c r="Q44" s="7"/>
      <c r="R44" s="7"/>
      <c r="S44" s="7"/>
    </row>
    <row r="45" spans="1:19">
      <c r="A45" s="1">
        <v>56</v>
      </c>
      <c r="B45" s="13" t="s">
        <v>169</v>
      </c>
      <c r="C45" s="3" t="s">
        <v>170</v>
      </c>
      <c r="D45" s="3" t="s">
        <v>171</v>
      </c>
      <c r="E45" s="4" t="s">
        <v>3</v>
      </c>
      <c r="F45" s="1"/>
      <c r="G45" s="5" t="s">
        <v>4</v>
      </c>
      <c r="H45" s="3">
        <v>63.6</v>
      </c>
      <c r="I45" s="3">
        <v>75.680000000000007</v>
      </c>
      <c r="J45" s="3">
        <v>4</v>
      </c>
      <c r="K45" s="3">
        <v>1</v>
      </c>
      <c r="L45" s="3">
        <v>254.4</v>
      </c>
      <c r="M45" s="6">
        <f t="shared" si="0"/>
        <v>302.72000000000003</v>
      </c>
      <c r="N45" s="8">
        <v>4</v>
      </c>
      <c r="O45" s="7"/>
      <c r="P45" s="7"/>
      <c r="Q45" s="7"/>
      <c r="R45" s="7"/>
      <c r="S45" s="7"/>
    </row>
  </sheetData>
  <mergeCells count="7">
    <mergeCell ref="E1:M1"/>
    <mergeCell ref="N1:N2"/>
    <mergeCell ref="O1:S2"/>
    <mergeCell ref="A1:A2"/>
    <mergeCell ref="B1:B2"/>
    <mergeCell ref="C1:C2"/>
    <mergeCell ref="D1:D2"/>
  </mergeCells>
  <conditionalFormatting sqref="D3">
    <cfRule type="duplicateValues" dxfId="11" priority="2"/>
  </conditionalFormatting>
  <conditionalFormatting sqref="D4">
    <cfRule type="duplicateValues" dxfId="10" priority="3"/>
  </conditionalFormatting>
  <conditionalFormatting sqref="D5:D14">
    <cfRule type="duplicateValues" dxfId="9" priority="4"/>
  </conditionalFormatting>
  <conditionalFormatting sqref="D15:D24">
    <cfRule type="duplicateValues" dxfId="8" priority="5"/>
  </conditionalFormatting>
  <conditionalFormatting sqref="D25">
    <cfRule type="duplicateValues" dxfId="7" priority="6"/>
  </conditionalFormatting>
  <conditionalFormatting sqref="D26">
    <cfRule type="duplicateValues" dxfId="6" priority="7"/>
  </conditionalFormatting>
  <conditionalFormatting sqref="D27:D34">
    <cfRule type="duplicateValues" dxfId="5" priority="8"/>
  </conditionalFormatting>
  <conditionalFormatting sqref="D35">
    <cfRule type="duplicateValues" dxfId="4" priority="9"/>
  </conditionalFormatting>
  <conditionalFormatting sqref="D36:D41">
    <cfRule type="duplicateValues" dxfId="3" priority="10"/>
  </conditionalFormatting>
  <conditionalFormatting sqref="D42">
    <cfRule type="duplicateValues" dxfId="2" priority="11"/>
  </conditionalFormatting>
  <conditionalFormatting sqref="D43:D45">
    <cfRule type="duplicateValues" dxfId="1" priority="12"/>
  </conditionalFormatting>
  <conditionalFormatting sqref="D1">
    <cfRule type="duplicateValues" dxfId="0" priority="1"/>
  </conditionalFormatting>
  <hyperlinks>
    <hyperlink ref="G3" r:id="rId1" xr:uid="{5695C4DA-F996-4B69-96E4-C62928EF6E3C}"/>
    <hyperlink ref="G4" r:id="rId2" xr:uid="{C165EA45-B62E-47BC-A7C1-0906B9A6F9CB}"/>
    <hyperlink ref="G5" r:id="rId3" xr:uid="{E9E78A17-01F1-4BBE-ABE7-63C24E3D1788}"/>
    <hyperlink ref="G6" r:id="rId4" xr:uid="{FDFF52E1-F6CC-4440-899C-5130735C8175}"/>
    <hyperlink ref="G7" r:id="rId5" xr:uid="{18F778B4-4177-4F49-8814-0BC946AFE940}"/>
    <hyperlink ref="G8" r:id="rId6" xr:uid="{EE7F2A41-54B1-4F1F-953D-CAF9FDB78692}"/>
    <hyperlink ref="G9" r:id="rId7" xr:uid="{61BA8D41-37D3-4592-AD6E-A02F882B59E0}"/>
    <hyperlink ref="G10" r:id="rId8" xr:uid="{A225F84B-98C6-4301-B6ED-47F6263E60E8}"/>
    <hyperlink ref="G11" r:id="rId9" xr:uid="{79DCFB91-3DE7-4A5F-B923-A39210E7EEB4}"/>
    <hyperlink ref="G12" r:id="rId10" xr:uid="{CD5DB79C-FB59-45A0-A831-7187777DF598}"/>
    <hyperlink ref="G13" r:id="rId11" xr:uid="{0C52583E-10B8-4A4F-9FEB-23C0C6BF7932}"/>
    <hyperlink ref="G14" r:id="rId12" xr:uid="{740F4461-C120-43C5-8AA8-38A6ACFCC8A9}"/>
    <hyperlink ref="G15" r:id="rId13" xr:uid="{8DE88825-C101-43E6-B847-20FE83C29FD5}"/>
    <hyperlink ref="G16" r:id="rId14" xr:uid="{8A9D4FEE-A81F-42BE-B777-A19BC1EB4652}"/>
    <hyperlink ref="G17" r:id="rId15" xr:uid="{42277B1C-77A8-4FA7-B884-547472790066}"/>
    <hyperlink ref="G18" r:id="rId16" xr:uid="{B87942C4-096D-4B92-B737-7F1A66DE56F6}"/>
    <hyperlink ref="G19" r:id="rId17" xr:uid="{BC8A5F74-C056-4603-A96A-720701A6B4D9}"/>
    <hyperlink ref="G20" r:id="rId18" xr:uid="{F1BA4307-67F8-4073-B5D4-295A89CF2300}"/>
    <hyperlink ref="G21" r:id="rId19" xr:uid="{AF179EA6-20A4-4C1E-81E4-0B5E8112D366}"/>
    <hyperlink ref="G22" r:id="rId20" xr:uid="{ABF43C3B-7428-41F2-AC11-B0DF038A7BF8}"/>
    <hyperlink ref="G23" r:id="rId21" xr:uid="{CBB6BE4F-D698-4866-AB67-8BAA92A939B7}"/>
    <hyperlink ref="G24" r:id="rId22" xr:uid="{B1D61F7F-BE3A-4C6E-9765-DED8B2DDE2D6}"/>
    <hyperlink ref="G25" r:id="rId23" xr:uid="{A250B790-D984-4E2C-B205-F0953C8995D4}"/>
    <hyperlink ref="G26" r:id="rId24" xr:uid="{8436E66D-265A-4D47-B105-A021B3E406B3}"/>
    <hyperlink ref="G29" r:id="rId25" xr:uid="{54D1A4DE-375D-466F-9BD7-0394E78CB525}"/>
    <hyperlink ref="G30" r:id="rId26" xr:uid="{F6FE1C48-A139-4C02-977C-F295B76B0648}"/>
    <hyperlink ref="G31" r:id="rId27" xr:uid="{DC925B3D-13BB-45AF-A3DD-40000FA97A9F}"/>
    <hyperlink ref="G28" r:id="rId28" xr:uid="{3357A63C-EDC8-4336-98AB-436A554BE682}"/>
    <hyperlink ref="G27" r:id="rId29" xr:uid="{B5A31C6F-E7C5-426C-908A-90D6B70A8349}"/>
    <hyperlink ref="G32" r:id="rId30" xr:uid="{213278BB-E84A-45B0-B03C-6F54E280B0BE}"/>
    <hyperlink ref="G33" r:id="rId31" xr:uid="{49A43135-27D0-4091-BFC1-F3EBF14DA1A9}"/>
    <hyperlink ref="G34" r:id="rId32" xr:uid="{04EC404B-EFBD-4FAC-BB4F-65F707BD97D3}"/>
    <hyperlink ref="G35" r:id="rId33" xr:uid="{062CF794-06DF-4E16-AD91-AB7ECBEDDEC8}"/>
    <hyperlink ref="G36" r:id="rId34" xr:uid="{390847E9-6787-49EE-A218-BE5D3330AFBE}"/>
    <hyperlink ref="G37" r:id="rId35" xr:uid="{2C620E9E-D4E0-4C8D-8738-25F22EDBA37C}"/>
    <hyperlink ref="G38" r:id="rId36" xr:uid="{242A6BD0-2FD4-4BD5-81D5-8914B5969A9D}"/>
    <hyperlink ref="G39" r:id="rId37" xr:uid="{E3B28CC3-7308-4672-89ED-97E2AB655B4F}"/>
    <hyperlink ref="G40" r:id="rId38" xr:uid="{6DED6D94-FDF1-484E-9B98-71E689BE1221}"/>
    <hyperlink ref="G41" r:id="rId39" xr:uid="{1E85FE4D-CB7F-408B-A369-2F6224E38111}"/>
    <hyperlink ref="G42" r:id="rId40" xr:uid="{88313EAA-E73C-4E9C-AAC8-1C1CAA168AAE}"/>
    <hyperlink ref="G43" r:id="rId41" xr:uid="{0D70455C-F0DE-44A2-B10B-83B7F55BFBEC}"/>
    <hyperlink ref="G44" r:id="rId42" xr:uid="{913B7C1F-19E8-431D-BF35-AA7FDCDE005F}"/>
    <hyperlink ref="G45" r:id="rId43" xr:uid="{4B014D56-9B0C-4EB6-A43B-AAD4E9681C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2026-07-14T07:28:10Z</dcterms:created>
  <dcterms:modified xsi:type="dcterms:W3CDTF">2026-07-14T07:41:00Z</dcterms:modified>
</cp:coreProperties>
</file>