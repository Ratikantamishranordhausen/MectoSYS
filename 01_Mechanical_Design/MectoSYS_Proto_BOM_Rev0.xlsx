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0e4c882022e26f/Personal Folder/00_Startup/01_Mectosys_Prototype/02_BOM/"/>
    </mc:Choice>
  </mc:AlternateContent>
  <xr:revisionPtr revIDLastSave="0" documentId="8_{82371959-6A78-4821-B09B-B2D23E8DDCC2}" xr6:coauthVersionLast="47" xr6:coauthVersionMax="47" xr10:uidLastSave="{00000000-0000-0000-0000-000000000000}"/>
  <bookViews>
    <workbookView xWindow="28680" yWindow="-120" windowWidth="29040" windowHeight="15720" xr2:uid="{0C9E776B-8DD7-4879-9D54-64B764C31202}"/>
  </bookViews>
  <sheets>
    <sheet name="Summery" sheetId="1" r:id="rId1"/>
    <sheet name="Station Wise BO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22" i="2" l="1"/>
  <c r="N122" i="2"/>
  <c r="O121" i="2"/>
  <c r="N121" i="2"/>
  <c r="O120" i="2"/>
  <c r="N120" i="2"/>
  <c r="O119" i="2"/>
  <c r="N119" i="2"/>
  <c r="O117" i="2"/>
  <c r="N117" i="2"/>
  <c r="O116" i="2"/>
  <c r="N116" i="2"/>
  <c r="O115" i="2"/>
  <c r="N115" i="2"/>
  <c r="O114" i="2"/>
  <c r="N114" i="2"/>
  <c r="O113" i="2"/>
  <c r="N113" i="2"/>
  <c r="O111" i="2"/>
  <c r="N111" i="2"/>
  <c r="O110" i="2"/>
  <c r="N110" i="2"/>
  <c r="O109" i="2"/>
  <c r="N109" i="2"/>
  <c r="O108" i="2"/>
  <c r="N108" i="2"/>
  <c r="O107" i="2"/>
  <c r="N107" i="2"/>
  <c r="O106" i="2"/>
  <c r="N106" i="2"/>
  <c r="O105" i="2"/>
  <c r="N105" i="2"/>
  <c r="O104" i="2"/>
  <c r="N104" i="2"/>
  <c r="O103" i="2"/>
  <c r="N103" i="2"/>
  <c r="O102" i="2"/>
  <c r="N102" i="2"/>
  <c r="O101" i="2"/>
  <c r="N101" i="2"/>
  <c r="O100" i="2"/>
  <c r="N100" i="2"/>
  <c r="O99" i="2"/>
  <c r="N99" i="2"/>
  <c r="O98" i="2"/>
  <c r="N98" i="2"/>
  <c r="O97" i="2"/>
  <c r="N97" i="2"/>
  <c r="O96" i="2"/>
  <c r="N96" i="2"/>
  <c r="O95" i="2"/>
  <c r="N95" i="2"/>
  <c r="O94" i="2"/>
  <c r="N94" i="2"/>
  <c r="O93" i="2"/>
  <c r="N93" i="2"/>
  <c r="O92" i="2"/>
  <c r="N92" i="2"/>
  <c r="O91" i="2"/>
  <c r="N91" i="2"/>
  <c r="O90" i="2"/>
  <c r="N90" i="2"/>
  <c r="O89" i="2"/>
  <c r="N89" i="2"/>
  <c r="O88" i="2"/>
  <c r="N88" i="2"/>
  <c r="O86" i="2"/>
  <c r="O85" i="2"/>
  <c r="N85" i="2"/>
  <c r="O84" i="2"/>
  <c r="N84" i="2"/>
  <c r="O83" i="2"/>
  <c r="N83" i="2"/>
  <c r="O82" i="2"/>
  <c r="N82" i="2"/>
  <c r="O81" i="2"/>
  <c r="N81" i="2"/>
  <c r="O80" i="2"/>
  <c r="N80" i="2"/>
  <c r="O79" i="2"/>
  <c r="N79" i="2"/>
  <c r="O78" i="2"/>
  <c r="N78" i="2"/>
  <c r="O77" i="2"/>
  <c r="N77" i="2"/>
  <c r="O76" i="2"/>
  <c r="N76" i="2"/>
  <c r="O75" i="2"/>
  <c r="N75" i="2"/>
  <c r="O74" i="2"/>
  <c r="N74" i="2"/>
  <c r="O73" i="2"/>
  <c r="N73" i="2"/>
  <c r="O72" i="2"/>
  <c r="N72" i="2"/>
  <c r="O71" i="2"/>
  <c r="N71" i="2"/>
  <c r="O70" i="2"/>
  <c r="N70" i="2"/>
  <c r="O69" i="2"/>
  <c r="N69" i="2"/>
  <c r="O64" i="2"/>
  <c r="N64" i="2"/>
  <c r="O63" i="2"/>
  <c r="N63" i="2"/>
  <c r="O62" i="2"/>
  <c r="N62" i="2"/>
  <c r="O61" i="2"/>
  <c r="N61" i="2"/>
  <c r="O60" i="2"/>
  <c r="O59" i="2"/>
  <c r="O58" i="2"/>
  <c r="O57" i="2"/>
  <c r="O56" i="2"/>
  <c r="O55" i="2"/>
  <c r="O54" i="2"/>
  <c r="O53" i="2"/>
  <c r="N53" i="2"/>
  <c r="O52" i="2"/>
  <c r="N52" i="2"/>
  <c r="O51" i="2"/>
  <c r="N51" i="2"/>
  <c r="O50" i="2"/>
  <c r="N50" i="2"/>
  <c r="O49" i="2"/>
  <c r="O48" i="2"/>
  <c r="N48" i="2"/>
  <c r="O47" i="2"/>
  <c r="N47" i="2"/>
  <c r="O45" i="2"/>
  <c r="N45" i="2"/>
  <c r="O44" i="2"/>
  <c r="O43" i="2"/>
  <c r="N43" i="2"/>
  <c r="O42" i="2"/>
  <c r="N42" i="2"/>
  <c r="O41" i="2"/>
  <c r="N41" i="2"/>
  <c r="O40" i="2"/>
  <c r="N40" i="2"/>
  <c r="O39" i="2"/>
  <c r="N39" i="2"/>
  <c r="O38" i="2"/>
  <c r="N38" i="2"/>
  <c r="O37" i="2"/>
  <c r="N37" i="2"/>
  <c r="O36" i="2"/>
  <c r="N36" i="2"/>
  <c r="O34" i="2"/>
  <c r="N34" i="2"/>
  <c r="O33" i="2"/>
  <c r="N33" i="2"/>
  <c r="O32" i="2"/>
  <c r="N32" i="2"/>
  <c r="O31" i="2"/>
  <c r="N31" i="2"/>
  <c r="O30" i="2"/>
  <c r="N30" i="2"/>
  <c r="O29" i="2"/>
  <c r="N29" i="2"/>
  <c r="O28" i="2"/>
  <c r="N28" i="2"/>
  <c r="O27" i="2"/>
  <c r="N27" i="2"/>
  <c r="O25" i="2"/>
  <c r="N25" i="2"/>
  <c r="O24" i="2"/>
  <c r="N24" i="2"/>
  <c r="O23" i="2"/>
  <c r="N23" i="2"/>
  <c r="O22" i="2"/>
  <c r="N22" i="2"/>
  <c r="O21" i="2"/>
  <c r="N21" i="2"/>
  <c r="O16" i="2"/>
  <c r="N16" i="2"/>
  <c r="O15" i="2"/>
  <c r="N15" i="2"/>
  <c r="O14" i="2"/>
  <c r="N14" i="2"/>
  <c r="O13" i="2"/>
  <c r="N13" i="2"/>
  <c r="O12" i="2"/>
  <c r="N12" i="2"/>
  <c r="O11" i="2"/>
  <c r="N11" i="2"/>
  <c r="O9" i="2"/>
  <c r="N9" i="2"/>
  <c r="O8" i="2"/>
  <c r="N8" i="2"/>
  <c r="O7" i="2"/>
  <c r="N7" i="2"/>
  <c r="O6" i="2"/>
  <c r="N6" i="2"/>
  <c r="O5" i="2"/>
  <c r="N5" i="2"/>
  <c r="O4" i="2"/>
  <c r="N4" i="2"/>
  <c r="O3" i="2"/>
  <c r="N3" i="2"/>
  <c r="M95" i="1"/>
  <c r="L95" i="1"/>
  <c r="M94" i="1"/>
  <c r="L94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M42" i="1"/>
  <c r="M41" i="1"/>
  <c r="M40" i="1"/>
  <c r="M39" i="1"/>
  <c r="M38" i="1"/>
  <c r="M37" i="1"/>
  <c r="M36" i="1"/>
  <c r="L36" i="1"/>
  <c r="M35" i="1"/>
  <c r="M34" i="1"/>
  <c r="L34" i="1"/>
  <c r="M33" i="1"/>
  <c r="L33" i="1"/>
  <c r="M32" i="1"/>
  <c r="L32" i="1"/>
  <c r="M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</calcChain>
</file>

<file path=xl/sharedStrings.xml><?xml version="1.0" encoding="utf-8"?>
<sst xmlns="http://schemas.openxmlformats.org/spreadsheetml/2006/main" count="1087" uniqueCount="364">
  <si>
    <t>Sr No</t>
  </si>
  <si>
    <t>Component Name</t>
  </si>
  <si>
    <t>Component Details</t>
  </si>
  <si>
    <t>Part No</t>
  </si>
  <si>
    <t>Link</t>
  </si>
  <si>
    <t>Lead Time (Days)</t>
  </si>
  <si>
    <t>Status</t>
  </si>
  <si>
    <t>Price</t>
  </si>
  <si>
    <t>Tax</t>
  </si>
  <si>
    <t>Qty (Nos)</t>
  </si>
  <si>
    <t>Total Price</t>
  </si>
  <si>
    <t>Website</t>
  </si>
  <si>
    <t>Specification</t>
  </si>
  <si>
    <t>6 Series / slot width 8 / 300x30mm, Parallel Surfacing</t>
  </si>
  <si>
    <t xml:space="preserve">Surface plate </t>
  </si>
  <si>
    <t>EFSP6-30030-900</t>
  </si>
  <si>
    <t>Misumi</t>
  </si>
  <si>
    <t>Overall Length L (mm) = 900</t>
  </si>
  <si>
    <t>6 Series / slot width 8 / 30x30mm</t>
  </si>
  <si>
    <t>30X30 extrusion</t>
  </si>
  <si>
    <t>HFS6-3030-2400</t>
  </si>
  <si>
    <t>Extrusion Type = HFS (Standard)</t>
  </si>
  <si>
    <t>Surface Treatment = Clear Anodize</t>
  </si>
  <si>
    <t>L Dimension Fixed, Specified = Configuration</t>
  </si>
  <si>
    <t>Overall Length L (mm) = 2400</t>
  </si>
  <si>
    <t>6 Series (Groove Width 8 mm), 1-Row Groove, Reversing Bracket With Protrusion</t>
  </si>
  <si>
    <t>Connecting Bracket set</t>
  </si>
  <si>
    <t>CHBLFSN6</t>
  </si>
  <si>
    <t>Surface Treatment = Baked-on Finish (Silver)</t>
  </si>
  <si>
    <t>Cover Mounting Hole Addition Work = Not Provided</t>
  </si>
  <si>
    <t>Accessories = Not Provided</t>
  </si>
  <si>
    <t>Hexagon Socket Head Cap Screws</t>
  </si>
  <si>
    <t>Screw</t>
  </si>
  <si>
    <t>CBM6-12</t>
  </si>
  <si>
    <t>Type = Hex Socket Head Cap Screw</t>
  </si>
  <si>
    <t>Thread Dia. (mm) = 6</t>
  </si>
  <si>
    <t>Thread Length (mm) = 12</t>
  </si>
  <si>
    <t>Material = Steel</t>
  </si>
  <si>
    <t>Surface Treatment = Bright Crome Plating</t>
  </si>
  <si>
    <t>6 Series / Pre-Assembly Insertion Nuts【1 to 100 pieces】</t>
  </si>
  <si>
    <t>T Nut</t>
  </si>
  <si>
    <t>PACK-HNTT6-6</t>
  </si>
  <si>
    <t>Thread Nominal M (mm) = M6</t>
  </si>
  <si>
    <t>Threadlocker = Not Provided</t>
  </si>
  <si>
    <t>Sale Type = Bulk Packages</t>
  </si>
  <si>
    <t>Pads for Aluminium Extrusions</t>
  </si>
  <si>
    <t>End cap</t>
  </si>
  <si>
    <t>HFPD6-3030</t>
  </si>
  <si>
    <t>Type = HFPD6-3030</t>
  </si>
  <si>
    <t>6 Series / Frame End Caps</t>
  </si>
  <si>
    <t>HFC6-3090-B</t>
  </si>
  <si>
    <t>Cap Shape = Rectangle</t>
  </si>
  <si>
    <t>Extrusion Size = 3090</t>
  </si>
  <si>
    <t>Resin = Polyamide</t>
  </si>
  <si>
    <t xml:space="preserve">Color = Black </t>
  </si>
  <si>
    <t>Slot Width 8mm / Flat Frame / No Flange / 1-Side Slot Type</t>
  </si>
  <si>
    <t>Conveyor side bar</t>
  </si>
  <si>
    <t>HFSPURE6-1220-2500</t>
  </si>
  <si>
    <t>Extrusion Size: Width (mm) = 20</t>
  </si>
  <si>
    <t>Overall Length L (mm) = 2500</t>
  </si>
  <si>
    <t>Slot Width 8mm / Flat Aluminium Extrusions / With Shoulder</t>
  </si>
  <si>
    <t>Slider</t>
  </si>
  <si>
    <t>HFSFIN6-1554-1000</t>
  </si>
  <si>
    <t>Extrusion Size: Width (mm) = 54</t>
  </si>
  <si>
    <t>Overall Length L (mm) = 1000</t>
  </si>
  <si>
    <t>5 Series / slot width 6 / 20x40mm</t>
  </si>
  <si>
    <t>Slider holder and pick and place</t>
  </si>
  <si>
    <t>HFS5-2040-1500</t>
  </si>
  <si>
    <t>Overall Length L (mm) = 1500</t>
  </si>
  <si>
    <t>5 Series / Frame End Caps</t>
  </si>
  <si>
    <t>End Cap</t>
  </si>
  <si>
    <t>HFCL5-2040-B</t>
  </si>
  <si>
    <t>Extrusion Size = 2040</t>
  </si>
  <si>
    <t>Resin = Low-Density Polyethene</t>
  </si>
  <si>
    <t>CBM5-8</t>
  </si>
  <si>
    <t>Thread Dia. (mm) = 5</t>
  </si>
  <si>
    <t>Thread Length (mm) = 8</t>
  </si>
  <si>
    <t>5 Series / Pre-Assembly Insertion Nuts【1 to 100 pieces】</t>
  </si>
  <si>
    <t>HNTT5-5</t>
  </si>
  <si>
    <t>Thread Nominal M (mm) = M5</t>
  </si>
  <si>
    <t>Sale Type = Single Item</t>
  </si>
  <si>
    <t>Stainless Steel Mini Conveyor, DC 12 V</t>
  </si>
  <si>
    <t>Conveyor</t>
  </si>
  <si>
    <t>Nok (may be VAT problem)</t>
  </si>
  <si>
    <t>Amazon</t>
  </si>
  <si>
    <t>Motor Forward Reverse Controller</t>
  </si>
  <si>
    <t>Controller</t>
  </si>
  <si>
    <t>TKS-M8</t>
  </si>
  <si>
    <t>Sick WTB4-3P2161 1028099 Photoelectric Sensor</t>
  </si>
  <si>
    <t>Sensor</t>
  </si>
  <si>
    <t>WTB4-3P2161 1028099</t>
  </si>
  <si>
    <t>IndustryMall</t>
  </si>
  <si>
    <t>Connectors and cables: Sensor-actuator cables</t>
  </si>
  <si>
    <t>Cable</t>
  </si>
  <si>
    <t>YG8U13-010VA1XLEAX</t>
  </si>
  <si>
    <t>Sick</t>
  </si>
  <si>
    <t>Din Rail</t>
  </si>
  <si>
    <t xml:space="preserve">For terminal block mounting </t>
  </si>
  <si>
    <t>NS35-7.5-1000</t>
  </si>
  <si>
    <t>Characteristics = Preferred Size Product</t>
  </si>
  <si>
    <t>Size Width (mm) = 1000</t>
  </si>
  <si>
    <t>Sizes Vertical (mm) = 35</t>
  </si>
  <si>
    <t>Screw Size =M6</t>
  </si>
  <si>
    <t>Dimensions Thickness / Depth (mm) =7.5</t>
  </si>
  <si>
    <t>Passive module, VARIOFACE-transfer module</t>
  </si>
  <si>
    <t>Terminal Block</t>
  </si>
  <si>
    <t>Total number of pins (Pole) = 14</t>
  </si>
  <si>
    <t>Cable FLK 14, Round cable set</t>
  </si>
  <si>
    <t>Cable for Terminal Block</t>
  </si>
  <si>
    <t>Part No = 2288927</t>
  </si>
  <si>
    <t>Electric Solenoid</t>
  </si>
  <si>
    <t>Waiting for price</t>
  </si>
  <si>
    <t>Pending</t>
  </si>
  <si>
    <t>Round cylinder, DSNU Series</t>
  </si>
  <si>
    <t>Cylinder</t>
  </si>
  <si>
    <t>DSNU-8-100-P-A</t>
  </si>
  <si>
    <t>Stroke: L (mm) = 100</t>
  </si>
  <si>
    <t>Piston diameter (mm) = 8</t>
  </si>
  <si>
    <t>Pneumatic connection = M5</t>
  </si>
  <si>
    <t>Piston rod thread = M4</t>
  </si>
  <si>
    <t>Proximity sensor, SMT Series</t>
  </si>
  <si>
    <t>Read switch</t>
  </si>
  <si>
    <t>SMT-8M-A-PS-24V-E-2.5-OE</t>
  </si>
  <si>
    <t>Design = for T-Slot</t>
  </si>
  <si>
    <t>DC operating voltage range (V) = 5-30</t>
  </si>
  <si>
    <t>Switching output = PNP</t>
  </si>
  <si>
    <t>Cable length (m) = 2.5</t>
  </si>
  <si>
    <t xml:space="preserve">Mounting kit, SMBR Series </t>
  </si>
  <si>
    <t>Read switch mounting bracket</t>
  </si>
  <si>
    <t>SMBR-8-8</t>
  </si>
  <si>
    <t>Size = 8</t>
  </si>
  <si>
    <t>One-way flow control valve, GRLA Series</t>
  </si>
  <si>
    <t>Flow control valve</t>
  </si>
  <si>
    <t>GRLA-M5-QS-4-D</t>
  </si>
  <si>
    <t>Seals material = NBR</t>
  </si>
  <si>
    <t>Pneumatic connection 1 = Qs-4</t>
  </si>
  <si>
    <t>Pneumatic connection 2 = M5</t>
  </si>
  <si>
    <t>Push-in fitting, QSM Series</t>
  </si>
  <si>
    <t>Push in fitting</t>
  </si>
  <si>
    <t>QSM-M5-4</t>
  </si>
  <si>
    <t>Pneumatic connection 1 = External thread M5</t>
  </si>
  <si>
    <t>Pneumatic connection 2 = for 4mm tube</t>
  </si>
  <si>
    <t>Pack size = 10</t>
  </si>
  <si>
    <t xml:space="preserve">Pneumatic muffler, AMTE Series </t>
  </si>
  <si>
    <t>Silencer</t>
  </si>
  <si>
    <t>AMTE-M-LH-M5</t>
  </si>
  <si>
    <t>Pack size = 20</t>
  </si>
  <si>
    <t>Flow rate with respect to atmosphere (l/min) = 225</t>
  </si>
  <si>
    <t>Plastic tubing, PUN Series【1 to 500 pieces】</t>
  </si>
  <si>
    <t>Tube</t>
  </si>
  <si>
    <t>PUN-H-4X0.75-NT</t>
  </si>
  <si>
    <t>Outer Diameter D (Ø) = 4</t>
  </si>
  <si>
    <t>Inner Diameter d (Ø) = 2.6</t>
  </si>
  <si>
    <t>Product type = Hydrolysis-resistance</t>
  </si>
  <si>
    <t>KEYENCE Fu-77v Transmitting Fiber Optic Device</t>
  </si>
  <si>
    <t>fiber optic</t>
  </si>
  <si>
    <t>Fu-77v</t>
  </si>
  <si>
    <t>ebay</t>
  </si>
  <si>
    <t>Keyence FS-N11P Fibre Amplifier Main Unit</t>
  </si>
  <si>
    <t>amplifier</t>
  </si>
  <si>
    <t>FS-N11P</t>
  </si>
  <si>
    <t xml:space="preserve">Pressure sensor, SDE5 Series </t>
  </si>
  <si>
    <t>Pressure switch</t>
  </si>
  <si>
    <t>SDE5-V1-O-Q6-P-M8</t>
  </si>
  <si>
    <t>Pneumatic connection = QS-6</t>
  </si>
  <si>
    <t>Switching element function = N/O Contact</t>
  </si>
  <si>
    <t>Max. output current (mA) = 100</t>
  </si>
  <si>
    <t>Pressure measuring range end value (bar) = -1</t>
  </si>
  <si>
    <t xml:space="preserve">Compact air cylinder, DPDM Series </t>
  </si>
  <si>
    <t>DPDM-Q-16-50-PA</t>
  </si>
  <si>
    <t>PTS</t>
  </si>
  <si>
    <t>SMT-10M-PS-24V-E-2.5-L-OE (551373) Proximity switch</t>
  </si>
  <si>
    <t xml:space="preserve">Read Switch </t>
  </si>
  <si>
    <t>SMT-10M-PS-24V-E-2.5-L-OE</t>
  </si>
  <si>
    <t>Landefeld</t>
  </si>
  <si>
    <t xml:space="preserve">Air solenoid valve, VUVG Series </t>
  </si>
  <si>
    <t>Valve</t>
  </si>
  <si>
    <t>VUVG-L10-M52-MT-M5-1H2L-W1</t>
  </si>
  <si>
    <t>VRPA-CM-Q4-E (8086003) pressure regulator</t>
  </si>
  <si>
    <t>Pressure regulator</t>
  </si>
  <si>
    <t>VRPA-CM-Q4-E</t>
  </si>
  <si>
    <t>VN-05-M-I3-PQ2-VQ2-A (532624) vacuum suction nozzle</t>
  </si>
  <si>
    <t>Vacuum generator</t>
  </si>
  <si>
    <t>VN-05-M-I3-PQ2-VQ2-A</t>
  </si>
  <si>
    <t>ESH-HA-4-QS (189199) Vacuum suction cup holder</t>
  </si>
  <si>
    <t>Cup holder</t>
  </si>
  <si>
    <t>ESH-HA-4-QS</t>
  </si>
  <si>
    <t>ESF-4A (191203) Vacuum Filter</t>
  </si>
  <si>
    <t>Filter</t>
  </si>
  <si>
    <t>ESF-4A</t>
  </si>
  <si>
    <t>ESS-20-CS (189401) Vacuum Suction Cup</t>
  </si>
  <si>
    <t>Cup</t>
  </si>
  <si>
    <t>ESS-20-CS</t>
  </si>
  <si>
    <t>QSM-6H-4 (153329) connector</t>
  </si>
  <si>
    <t>Vacuum generator 6 to 4</t>
  </si>
  <si>
    <t>QSM-6H-4</t>
  </si>
  <si>
    <t>QSH-6 (153252) Plug-in sleeve</t>
  </si>
  <si>
    <t>Vaccuum generator to cup</t>
  </si>
  <si>
    <t>QSH-6</t>
  </si>
  <si>
    <t>Tube Blue</t>
  </si>
  <si>
    <t>PUN-H-4X0.75-BL</t>
  </si>
  <si>
    <t>Tube Black</t>
  </si>
  <si>
    <t>PUN-H-4X0.75-SW</t>
  </si>
  <si>
    <t>Air solenoid valve, VUVG Series</t>
  </si>
  <si>
    <t>bistable valve</t>
  </si>
  <si>
    <t>VUVG-L10-B52-T-M5-1H2L-W1</t>
  </si>
  <si>
    <t>Multiple distributor, QSQ Series</t>
  </si>
  <si>
    <t>Distributer 4 mm</t>
  </si>
  <si>
    <t>QSQ-6-4</t>
  </si>
  <si>
    <t>Festo EMMS-ST-57-M-SE-G2 1370479</t>
  </si>
  <si>
    <t>Motor</t>
  </si>
  <si>
    <t>MHZ2-32 1370479</t>
  </si>
  <si>
    <t>Festo 8084004 CMMT-ST-C8-1C-PN-S0 Servo</t>
  </si>
  <si>
    <t>Drive</t>
  </si>
  <si>
    <t>CMMT-ST-C8-1C-PN-S0 8084004</t>
  </si>
  <si>
    <t>Festo NEBM-M12W8-E-2.5-LE8 1451675 Encoder Cable New</t>
  </si>
  <si>
    <t>Encoder cable</t>
  </si>
  <si>
    <t>NEBM-M12W8-E-2.5-LE8</t>
  </si>
  <si>
    <t>Festo NEBM-S1W9-E-7-Q5-LE6 1450739 Motor cable</t>
  </si>
  <si>
    <t>Motor cable</t>
  </si>
  <si>
    <t>NEBM-S1W9-E-7-Q5-LE6</t>
  </si>
  <si>
    <t>Festo EGC-80-700-TB-KF-0H-GK 556814 Toothed Belt Axis</t>
  </si>
  <si>
    <t>Toothed Belt Axis</t>
  </si>
  <si>
    <t>EGC-80-700-TB-KF-0H-GK 556814</t>
  </si>
  <si>
    <t>Festo DHPS-16-A 1254043 Parallel gripper r + 2x proximity switch ter -used-</t>
  </si>
  <si>
    <t>DHPS-16-A</t>
  </si>
  <si>
    <t>Ebay</t>
  </si>
  <si>
    <t>Festo DGSL-12-50-Y3A 543979 Mini Schlitten</t>
  </si>
  <si>
    <t>DGSL-12-50-Y3A</t>
  </si>
  <si>
    <t xml:space="preserve">Limit switch </t>
  </si>
  <si>
    <t>540-DC1C-A1RB</t>
  </si>
  <si>
    <t>Mouser</t>
  </si>
  <si>
    <t>Festo SME-8-S-LED-24 150857 Proximity Sensor New sealed</t>
  </si>
  <si>
    <t>SME-8-S-LED-24 150857</t>
  </si>
  <si>
    <t>NEBA-M8G3-U-2.5-N-LE3 (8078223) Connecting cable</t>
  </si>
  <si>
    <t>Connecting cable</t>
  </si>
  <si>
    <t>NEBA-M8G3-U-2.5-N-LE3 (8078223)</t>
  </si>
  <si>
    <t>6 Series / slot width 8 / 60x60mm</t>
  </si>
  <si>
    <t>Extrusion</t>
  </si>
  <si>
    <t>HFS6-6060-1000</t>
  </si>
  <si>
    <t>ADVC-6-10-APA (188065) ​​short stroke cylinder</t>
  </si>
  <si>
    <t>Short stroke cylinder</t>
  </si>
  <si>
    <t>ADVC-6-10-APA (188065)</t>
  </si>
  <si>
    <t>QSML-M3-4 (153332) L-shaped push-in fitting</t>
  </si>
  <si>
    <t>M3 fitting</t>
  </si>
  <si>
    <t>QSML-M3-4 (153332)</t>
  </si>
  <si>
    <t>Igus e-chain Black, 30mm x 10.5 mm Igumid G, Length 1 m 38 mm</t>
  </si>
  <si>
    <t>Drag chain</t>
  </si>
  <si>
    <t>RS</t>
  </si>
  <si>
    <t>Cable Tie Holder Black Cable Holder</t>
  </si>
  <si>
    <t>cable tie holder</t>
  </si>
  <si>
    <t>Nok</t>
  </si>
  <si>
    <t>Cable Ties Black Small 100 mm</t>
  </si>
  <si>
    <t>cable tie</t>
  </si>
  <si>
    <t>Signal light, red/yellow/green, LED, 24 V AC/DC</t>
  </si>
  <si>
    <t>Tower lamp</t>
  </si>
  <si>
    <t>HBJD-D3RYG24B</t>
  </si>
  <si>
    <t>reichelt</t>
  </si>
  <si>
    <t>Silent Compressor SAC55753</t>
  </si>
  <si>
    <t>Compressor</t>
  </si>
  <si>
    <t>SAC55753</t>
  </si>
  <si>
    <t>Hyundai</t>
  </si>
  <si>
    <t>WAGO 2587-2147 Switching Power Supply, 1-Phase, 24 VDC, 20 A, DC-OK LED</t>
  </si>
  <si>
    <t>SMPS</t>
  </si>
  <si>
    <t>2587-2147</t>
  </si>
  <si>
    <t>Schneider A9F74216 Miniature Circuit Breaker Acti9 iC60N 16A 6kA</t>
  </si>
  <si>
    <t>16A MCB 2P</t>
  </si>
  <si>
    <t xml:space="preserve">A9F74216 </t>
  </si>
  <si>
    <t>Schneider Electric A9F04116 Miniature Circuit Breaker iC60N, 1P, 16A, C Characteristic</t>
  </si>
  <si>
    <t>16A MCB 1P</t>
  </si>
  <si>
    <t xml:space="preserve">A9F04116 </t>
  </si>
  <si>
    <t>Schneider Electric circuit breaker - A9N61504</t>
  </si>
  <si>
    <t>4A 1P</t>
  </si>
  <si>
    <t>A9N61504</t>
  </si>
  <si>
    <t>Pushbutton, 1 normally open contact, momentary</t>
  </si>
  <si>
    <t>Push button green</t>
  </si>
  <si>
    <t>XB5AA31</t>
  </si>
  <si>
    <t>Push button, 1 normally open contact, momentary</t>
  </si>
  <si>
    <t>Push button red</t>
  </si>
  <si>
    <t>XB4BA42</t>
  </si>
  <si>
    <t>Selector switch, 22 mm, 2 positions, latching, 2 normally open contacts</t>
  </si>
  <si>
    <t>selector switch</t>
  </si>
  <si>
    <t>XB5AD23</t>
  </si>
  <si>
    <t>Aufbaugehäuse, Not-Halt / Not-Aus, 1 Schließer/1 Öffner für Ø 22</t>
  </si>
  <si>
    <t>Emergency switch</t>
  </si>
  <si>
    <t>XALK178E</t>
  </si>
  <si>
    <t>Empty housing, 3 holes, 68 x 136 x 53 mm</t>
  </si>
  <si>
    <t>box</t>
  </si>
  <si>
    <t>XALD03</t>
  </si>
  <si>
    <t>Feed-through terminal, PT 2.5 grey</t>
  </si>
  <si>
    <t xml:space="preserve">Terminal block </t>
  </si>
  <si>
    <t>PT 2.5</t>
  </si>
  <si>
    <t>Wire end ferrule set, 200 pieces, 0.14 - 0.5 mm²</t>
  </si>
  <si>
    <t>lug</t>
  </si>
  <si>
    <t>QUAD 2010C392</t>
  </si>
  <si>
    <t>Assortment of insulated wire ferrules 0.5 - 2.5 mm²</t>
  </si>
  <si>
    <t>AEH RANGE 2</t>
  </si>
  <si>
    <t>QS-G1/4-8-50 (132040) Push-in fitting</t>
  </si>
  <si>
    <t>QS-G1/4-8-50</t>
  </si>
  <si>
    <t>QSQ-8-6 (153210) Multi-distributor</t>
  </si>
  <si>
    <t>QSQ-8-6 (153210)</t>
  </si>
  <si>
    <t>PUN-H-8X1.25-BL (197385) Plastic hose</t>
  </si>
  <si>
    <t>8mm tube</t>
  </si>
  <si>
    <t>PUN-H-8X1.25-BL</t>
  </si>
  <si>
    <t>PUN-H-6X1-BL (197384) Plastic hose</t>
  </si>
  <si>
    <t>6 mm tube</t>
  </si>
  <si>
    <t>PUN-H-6X1-BL</t>
  </si>
  <si>
    <t>QSML-M5-4 (153333) L-shaped push-in fitting</t>
  </si>
  <si>
    <t>L fitting</t>
  </si>
  <si>
    <t>QSML-M5-4</t>
  </si>
  <si>
    <t>QSC-4H-100 (130699) blind plug</t>
  </si>
  <si>
    <t>QSC-4H-100</t>
  </si>
  <si>
    <t>QSC-6H-100 (130700) blind plug</t>
  </si>
  <si>
    <t>QSC-6H-100</t>
  </si>
  <si>
    <t>TK-3 SMC hose cutter</t>
  </si>
  <si>
    <t>OT-SMC064162</t>
  </si>
  <si>
    <t>Raspberry Pi 5 Starter Kit, 64GB microSDHC including Pi OS, case, power supply</t>
  </si>
  <si>
    <t>Raspberry pi 5 4 GB</t>
  </si>
  <si>
    <t xml:space="preserve">Link </t>
  </si>
  <si>
    <t>Siemens 6GK5208-0GA00-2AC2 Scalance 6GK5 208-0GA00-2AC2 XC200G Ethernet Switch</t>
  </si>
  <si>
    <t>Ethernet Switch</t>
  </si>
  <si>
    <t>6GK5208-0GA00-2AC2</t>
  </si>
  <si>
    <t>Siemens 6ES7212-1AE40-0XB0 Simatic S7-1200 6ES7 212-1AE40-0XB0 CPU 1212C DC/DC/DC</t>
  </si>
  <si>
    <t>PLC</t>
  </si>
  <si>
    <t>6ES7212-1AE40-0XB0</t>
  </si>
  <si>
    <t>Siemens KTP700 BASIC 6AV2 123-2GB03-0AX0 F-state:08 6AV2123-2GB03- 0AX0</t>
  </si>
  <si>
    <t>HMI</t>
  </si>
  <si>
    <t>6AV2 123-2GB03-0AX0</t>
  </si>
  <si>
    <t>Beckhoff CX8190 / 000000800 (incl. PLC license)</t>
  </si>
  <si>
    <t>CX8190</t>
  </si>
  <si>
    <t>Digital ocean droplet 4 GiB , 2 V CPUs</t>
  </si>
  <si>
    <t>PostgreSQL data base</t>
  </si>
  <si>
    <t>Mail server</t>
  </si>
  <si>
    <t>Yet to finalize</t>
  </si>
  <si>
    <t>Copilot Pro+</t>
  </si>
  <si>
    <t>Air solenoid valve</t>
  </si>
  <si>
    <t>L10-M52-RT- M5-1P3</t>
  </si>
  <si>
    <t>Station Name</t>
  </si>
  <si>
    <t>Dwg Ref No</t>
  </si>
  <si>
    <t xml:space="preserve">Table </t>
  </si>
  <si>
    <t>Slider Holding Bracket</t>
  </si>
  <si>
    <t>3D Print</t>
  </si>
  <si>
    <t>Side bar holding bracket</t>
  </si>
  <si>
    <t>End of slider bracket</t>
  </si>
  <si>
    <t>Conveyor Module</t>
  </si>
  <si>
    <t>Conveyor mounting bracket</t>
  </si>
  <si>
    <t>Sensor mounting bracket</t>
  </si>
  <si>
    <t>Z Bracket for holding side bar</t>
  </si>
  <si>
    <t>Electric solenoid mounting bracket</t>
  </si>
  <si>
    <t>Electric solenoid rotating bracket</t>
  </si>
  <si>
    <t>End of conveyor bracket</t>
  </si>
  <si>
    <t>Distribution Module</t>
  </si>
  <si>
    <t>Pneumatic connection 1 to 5 = M5</t>
  </si>
  <si>
    <t>Valve function = 5/2, monostable</t>
  </si>
  <si>
    <t>Reset method = Mechanical Spring</t>
  </si>
  <si>
    <t>Valve size (mm) = 10</t>
  </si>
  <si>
    <t>Pick and Place Module</t>
  </si>
  <si>
    <t>Cylinder holding bracket 1</t>
  </si>
  <si>
    <t>Cylinder holding bracket 2</t>
  </si>
  <si>
    <t>Cup holding bracket</t>
  </si>
  <si>
    <t>Handlling Module</t>
  </si>
  <si>
    <t>Gripper</t>
  </si>
  <si>
    <t>Accessories</t>
  </si>
  <si>
    <t>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</si>
</sst>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33333"/>
      <name val="Arial"/>
      <family val="2"/>
    </font>
    <font>
      <sz val="10"/>
      <color rgb="FF333333"/>
      <name val="Arial"/>
      <family val="2"/>
    </font>
    <font>
      <b/>
      <sz val="10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3" fillId="0" borderId="1" xfId="0" applyFont="1" applyBorder="1"/>
    <xf numFmtId="0" fontId="4" fillId="0" borderId="1" xfId="0" applyFont="1" applyBorder="1"/>
    <xf numFmtId="2" fontId="0" fillId="0" borderId="1" xfId="0" applyNumberFormat="1" applyBorder="1"/>
    <xf numFmtId="0" fontId="5" fillId="0" borderId="1" xfId="0" applyFont="1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2" fillId="0" borderId="1" xfId="1" applyBorder="1" applyAlignment="1">
      <alignment horizontal="left" vertical="center"/>
    </xf>
    <xf numFmtId="0" fontId="0" fillId="5" borderId="1" xfId="0" applyFill="1" applyBorder="1"/>
    <xf numFmtId="0" fontId="2" fillId="0" borderId="1" xfId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7" xfId="0" applyFill="1" applyBorder="1"/>
    <xf numFmtId="0" fontId="0" fillId="0" borderId="7" xfId="0" applyBorder="1"/>
    <xf numFmtId="0" fontId="2" fillId="0" borderId="7" xfId="1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3" fillId="0" borderId="7" xfId="0" applyFont="1" applyBorder="1"/>
    <xf numFmtId="0" fontId="0" fillId="0" borderId="9" xfId="0" applyBorder="1"/>
    <xf numFmtId="0" fontId="0" fillId="3" borderId="10" xfId="0" applyFill="1" applyBorder="1" applyAlignment="1">
      <alignment horizontal="center" vertical="center"/>
    </xf>
    <xf numFmtId="0" fontId="0" fillId="0" borderId="11" xfId="0" applyBorder="1"/>
    <xf numFmtId="0" fontId="0" fillId="3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13" xfId="0" applyFill="1" applyBorder="1"/>
    <xf numFmtId="0" fontId="0" fillId="0" borderId="13" xfId="0" applyBorder="1"/>
    <xf numFmtId="0" fontId="2" fillId="0" borderId="13" xfId="1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0" fillId="0" borderId="7" xfId="0" applyNumberFormat="1" applyBorder="1"/>
    <xf numFmtId="0" fontId="0" fillId="6" borderId="1" xfId="0" applyFill="1" applyBorder="1"/>
    <xf numFmtId="0" fontId="0" fillId="6" borderId="13" xfId="0" applyFill="1" applyBorder="1"/>
    <xf numFmtId="0" fontId="0" fillId="0" borderId="16" xfId="0" applyBorder="1" applyAlignment="1">
      <alignment horizontal="center" vertical="center"/>
    </xf>
    <xf numFmtId="0" fontId="0" fillId="4" borderId="7" xfId="0" applyFill="1" applyBorder="1"/>
    <xf numFmtId="0" fontId="0" fillId="0" borderId="7" xfId="0" applyBorder="1" applyAlignment="1">
      <alignment horizontal="left"/>
    </xf>
    <xf numFmtId="0" fontId="2" fillId="0" borderId="7" xfId="1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4" fillId="0" borderId="0" xfId="0" applyFont="1"/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left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3" borderId="2" xfId="0" applyFill="1" applyBorder="1"/>
    <xf numFmtId="0" fontId="0" fillId="0" borderId="2" xfId="0" applyBorder="1"/>
    <xf numFmtId="0" fontId="2" fillId="0" borderId="2" xfId="1" applyBorder="1"/>
    <xf numFmtId="0" fontId="0" fillId="0" borderId="20" xfId="0" applyBorder="1"/>
    <xf numFmtId="0" fontId="0" fillId="3" borderId="18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ndustrymall.de/en/servo-engines/26403-festo-emms-st-57-m-se-g2-1370479.html" TargetMode="External"/><Relationship Id="rId21" Type="http://schemas.openxmlformats.org/officeDocument/2006/relationships/hyperlink" Target="https://uk.misumi-ec.com/vona2/detail/221302445913/?PNSearch=SMBR-8-8&amp;HissuCode=SMBR-8-8&amp;Keyword=SMBR-8-8&amp;list=SuggestPreview&amp;searchFlow=suggest2productshist" TargetMode="External"/><Relationship Id="rId42" Type="http://schemas.openxmlformats.org/officeDocument/2006/relationships/hyperlink" Target="https://www.amazon.de/Cable-Narrow-Self-Locking-Plastic-Management/dp/B0FSJQGKSG/ref=sr_1_1_sspa?crid=2CO9MGFF9DOE1&amp;dib=eyJ2IjoiMSJ9._0MQaThZGqPGh2PnuIZxW1WKJlJBB0xCSWhmMiiLvptuMWKDnG18x9MQQ4ZLbdI0tvbrdU2O8KX4iheDzuyFMuQGx_LHeyVp28686zgfG-kphoOjwig2L-umpst7DshhnLsgvXZc4fF9RghuosCq-QtGTKSMuQXMQ4gfOhJ-OEYZtFN_Mch6WFR1cTLsRFtRV2mC_gslvNuJfJUkxnNlCrAPr2lD6ODp_dAlB8QjChYjLt2KoeJxmwMP6mO7MME6Aeuf-raFXg-eUDgSjfN3bHF0qs6xGHitJHVaIn2odY8.PgHsW8aEht8GnM44TKwIGhGYdeV3v0m9soJanhin21s&amp;dib_tag=se&amp;keywords=cable%2Btie%2B100mm&amp;qid=1776112756&amp;sprefix=cable%2Btie%2B100mm%2Caps%2C148&amp;sr=8-1-spons&amp;aref=QdQk6c6vRP&amp;sp_csd=d2lkZ2V0TmFtZT1zcF9hdGY&amp;th=1" TargetMode="External"/><Relationship Id="rId47" Type="http://schemas.openxmlformats.org/officeDocument/2006/relationships/hyperlink" Target="https://industrymall.de/en/plc/26331-festo-8084004-cmmt-st-c8-1c-pn-s0-servo.html" TargetMode="External"/><Relationship Id="rId63" Type="http://schemas.openxmlformats.org/officeDocument/2006/relationships/hyperlink" Target="https://www.beleuchtung-mit-led.de/schneider-a9f74216-3606480079566.html?gad_source=1&amp;gad_campaignid=209584939&amp;gbraid=0AAAAAD2r6l-s6HNjxFpX74-T3raQ1Ho23&amp;gclid=Cj0KCQjw-pHPBhCdARIsAHXYWP-tFyCC9zoDxYO2OotNsgBUG18xGICvPVdGxu2XfPOSj88NIxtADT8aAhnVEALw_wcB" TargetMode="External"/><Relationship Id="rId68" Type="http://schemas.openxmlformats.org/officeDocument/2006/relationships/hyperlink" Target="https://www.reichelt.de/de/de/shop/produkt/wahlschalter_22_mm_2_stellungen_rastend_2_schliesser-340232?PROVID=2788&amp;gad_source=1&amp;gad_campaignid=19009429418&amp;gbraid=0AAAAADwnxtaXhONZpO4LO6cBuX1axOVOa&amp;gclid=Cj0KCQjw-pHPBhCdARIsAHXYWP_jTWJ7YWUrWylfBprcSeUFSvhA_CnIO3d1KlyocnzHKoNI1dI6RaMaAglcEALw_wcB" TargetMode="External"/><Relationship Id="rId84" Type="http://schemas.openxmlformats.org/officeDocument/2006/relationships/hyperlink" Target="https://industrymall.de/en/plc/28995-siemens-6es7212-1ae40-0xb0-simatic-s7-1200-6es7-212-1ae40-0xb0-cpu-1212c-dc-dc-dc.html" TargetMode="External"/><Relationship Id="rId89" Type="http://schemas.openxmlformats.org/officeDocument/2006/relationships/hyperlink" Target="https://github.com/features/copilot/plans" TargetMode="External"/><Relationship Id="rId16" Type="http://schemas.openxmlformats.org/officeDocument/2006/relationships/hyperlink" Target="https://uk.misumi-ec.com/vona2/detail/110500152830/?PNSearch=NS35-7.5-1000&amp;HissuCode=NS35-7.5-1000&amp;Keyword=NS35-7.5-1000&amp;list=SuggestPreview&amp;searchFlow=suggest2products" TargetMode="External"/><Relationship Id="rId11" Type="http://schemas.openxmlformats.org/officeDocument/2006/relationships/hyperlink" Target="https://uk.misumi-ec.com/vona2/detail/110302261370/" TargetMode="External"/><Relationship Id="rId32" Type="http://schemas.openxmlformats.org/officeDocument/2006/relationships/hyperlink" Target="https://www.landefeld.de/artikel/de/esh-ha-4-qs-189199-vakuumsauger-halter/OT-FESTO007889" TargetMode="External"/><Relationship Id="rId37" Type="http://schemas.openxmlformats.org/officeDocument/2006/relationships/hyperlink" Target="https://uk.misumi-ec.com/vona2/detail/221302434090/?PNSearch=PUN-H-4X0.75-BL&amp;HissuCode=PUN-H-4X0.75-BL&amp;Keyword=PUN-H-4X0.75-BL&amp;list=SuggestPreview&amp;searchFlow=suggest2products" TargetMode="External"/><Relationship Id="rId53" Type="http://schemas.openxmlformats.org/officeDocument/2006/relationships/hyperlink" Target="https://www.mouser.de/ProductDetail/ZF/DC1C-A1RB?qs=Z7NFYKyvgJf36qdXxs3wkA%3D%3D" TargetMode="External"/><Relationship Id="rId58" Type="http://schemas.openxmlformats.org/officeDocument/2006/relationships/hyperlink" Target="https://de.rs-online.com/web/p/kabelkanale/7202777?cm_mmc=DE-PLA-DS3A-_-google-_-CSS_DE_DE_PMAX_Catch+All-_--_-7202777&amp;matchtype=&amp;&amp;gclsrc=aw.ds&amp;gad_source=1&amp;gad_campaignid=20579356490&amp;gbraid=0AAAAADkeWNPD4_1QQU0aAU3qwbLbLzapd&amp;gclid=Cj0KCQjw-pHPBhCdARIsAHXYWP-8CHmwsL3iiwJieNt5ExTFUuqBcTP0krnkP00--cE_3lYnREF2zvgaAmrIEALw_wcB" TargetMode="External"/><Relationship Id="rId74" Type="http://schemas.openxmlformats.org/officeDocument/2006/relationships/hyperlink" Target="https://www.landefeld.de/artikel/de/qs-g14-8-50-132040-steckverschraubung/OT-FESTO024341?campaign=GO_SH_landefeld_fallback_DACH&amp;gad_source=1&amp;gad_campaignid=21660067325&amp;gbraid=0AAAAAD_cjCPh3ZwTs6G-ulZdDOOG1GFOm&amp;gclid=Cj0KCQjw-pHPBhCdARIsAHXYWP-_W5uvqzSQtL0Q7WdbRqSzFwOIzZfxoJoCetBgbSEUzLQVmP75GHcaAvIoEALw_wcB" TargetMode="External"/><Relationship Id="rId79" Type="http://schemas.openxmlformats.org/officeDocument/2006/relationships/hyperlink" Target="https://www.landefeld.de/artikel/de/qsc-4h-100-130699-blindstopfen/OT-FESTO020038?campaign=GO_SH_landefeld_fallback_DACH&amp;gad_source=1&amp;gad_campaignid=21660067325&amp;gbraid=0AAAAAD_cjCPh3ZwTs6G-ulZdDOOG1GFOm&amp;gclid=Cj0KCQjw-pHPBhCdARIsAHXYWP-VdyomduuHw1jUPyBIo_NQB-L_-oN0ExPQjYhN2-GRppElA1FraZAaAglvEALw_wcB" TargetMode="External"/><Relationship Id="rId5" Type="http://schemas.openxmlformats.org/officeDocument/2006/relationships/hyperlink" Target="https://uk.misumi-ec.com/vona2/detail/110302261370/" TargetMode="External"/><Relationship Id="rId90" Type="http://schemas.openxmlformats.org/officeDocument/2006/relationships/hyperlink" Target="https://uk.misumi-ec.com/vona2/detail/110302687330/?CategorySpec=00000150379%3A%3Aa%0900000150384%3A%3Ac%0900000150389%3A%3Amig00000002007324%0900000151296%3A%3Amig00000002011826&amp;list=PageCategory" TargetMode="External"/><Relationship Id="rId14" Type="http://schemas.openxmlformats.org/officeDocument/2006/relationships/hyperlink" Target="https://www.amazon.de/dp/B0FMRKYWDN/ref=sspa_dk_detail_0?psc=1&amp;pd_rd_i=B0FMRKYWDN&amp;pd_rd_w=88kgb&amp;content-id=amzn1.sym.bf6dbf94-e926-4351-8952-c09f45cdef70&amp;pf_rd_p=bf6dbf94-e926-4351-8952-c09f45cdef70&amp;pf_rd_r=7M2R9N86TSWQYCPYT7S4&amp;pd_rd_wg=05mm0&amp;pd_rd_r=0361403c-ccf8-4582-b420-77dd8d800f41&amp;aref=kXP1VQjkcR&amp;sp_csd=d2lkZ2V0TmFtZT1zcF9kZXRhaWw" TargetMode="External"/><Relationship Id="rId22" Type="http://schemas.openxmlformats.org/officeDocument/2006/relationships/hyperlink" Target="https://uk.misumi-ec.com/vona2/detail/221302434371/?PNSearch=GRLA-M5-QS-4-D&amp;HissuCode=GRLA-M5-QS-4-D&amp;Keyword=GRLA-M5-QS-4-D&amp;list=SuggestPreview&amp;searchFlow=suggest2products" TargetMode="External"/><Relationship Id="rId27" Type="http://schemas.openxmlformats.org/officeDocument/2006/relationships/hyperlink" Target="https://uk.misumi-ec.com/vona2/detail/221302433796/?PNSearch=SDE5-V1-O-Q6-P-M8&amp;HissuCode=SDE5-V1-O-Q6-P-M8&amp;Keyword=SDE5-V1-O-Q6-P-M8&amp;list=SuggestPreview&amp;searchFlow=suggest2productshist" TargetMode="External"/><Relationship Id="rId30" Type="http://schemas.openxmlformats.org/officeDocument/2006/relationships/hyperlink" Target="https://www.landefeld.de/artikel/de/vrpa-cm-q4-e-8086003-druckregler/OT-FESTO082872" TargetMode="External"/><Relationship Id="rId35" Type="http://schemas.openxmlformats.org/officeDocument/2006/relationships/hyperlink" Target="https://www.landefeld.de/artikel/de/qsm-6h-4-153329-steckverbindung/OT-FESTO015349" TargetMode="External"/><Relationship Id="rId43" Type="http://schemas.openxmlformats.org/officeDocument/2006/relationships/hyperlink" Target="https://industrymall.de/en/sensors/28370-sick-wtb4-3p2161-1028099-photoelectric-sensor.html" TargetMode="External"/><Relationship Id="rId48" Type="http://schemas.openxmlformats.org/officeDocument/2006/relationships/hyperlink" Target="https://industrymall.de/en/hydraulics/27019-festo-egc-80-700-tb-kf-0h-gk-556814-toothed-belt-axis.html" TargetMode="External"/><Relationship Id="rId56" Type="http://schemas.openxmlformats.org/officeDocument/2006/relationships/hyperlink" Target="https://www.landefeld.de/artikel/de/advc-6-10-a-p-a-188065-kurzhubzylinder/OT-FESTO003870" TargetMode="External"/><Relationship Id="rId64" Type="http://schemas.openxmlformats.org/officeDocument/2006/relationships/hyperlink" Target="https://www.beleuchtung-mit-led.de/schneider-electric-a9f04116-3606480440366-leitungsschutzschalter-ic60n-1p-16a-c-charakteristik.html?gad_source=1&amp;gad_campaignid=209584939&amp;gbraid=0AAAAAD2r6l-s6HNjxFpX74-T3raQ1Ho23&amp;gclid=Cj0KCQjw-pHPBhCdARIsAHXYWP-yr1ZVmzBmzkquvKjxCwm-JVEOp0CQ-30MsD0OH_vYMnwntt9TUFUaAmeiEALw_wcB" TargetMode="External"/><Relationship Id="rId69" Type="http://schemas.openxmlformats.org/officeDocument/2006/relationships/hyperlink" Target="https://www.reichelt.de/de/de/shop/produkt/aufbaugehaeuse_not-halt_not-aus_1_schliesser_1_effner_fuer_22-221635?PROVID=2788&amp;gad_source=1&amp;gad_campaignid=21154720511&amp;gbraid=0AAAAADwnxtYXWeYdkLjaoCc3RI-rKXXa9&amp;gclid=Cj0KCQjw-pHPBhCdARIsAHXYWP--1wkIpCelIEtYnaoJLiULmgsgNe_Tuz8MKXAuBj93Xe6J6_FpGA8aAtZJEALw_wcB" TargetMode="External"/><Relationship Id="rId77" Type="http://schemas.openxmlformats.org/officeDocument/2006/relationships/hyperlink" Target="https://www.landefeld.de/artikel/de/pun-h-6x1-bl-197384-kunststoffschlauch/OT-FESTO014715?campaign=GO_SH_landefeld_fallback_DACH&amp;gad_source=1&amp;gad_campaignid=21660067325&amp;gbraid=0AAAAAD_cjCPh3ZwTs6G-ulZdDOOG1GFOm&amp;gclid=Cj0KCQjw-pHPBhCdARIsAHXYWP8hI9rw_3KiNA1XeEWxK656x9R0MTLHV2PdWJDdqTpKHg54LNZuMLYaAgrtEALw_wcB" TargetMode="External"/><Relationship Id="rId8" Type="http://schemas.openxmlformats.org/officeDocument/2006/relationships/hyperlink" Target="https://uk.misumi-ec.com/vona2/detail/110302684350/?PNSearch=HFS5-2040-1500&amp;HissuCode=HFS5-2040-1500&amp;Keyword=HFS5-2040-1500&amp;list=SuggestPreview&amp;searchFlow=suggest2products" TargetMode="External"/><Relationship Id="rId51" Type="http://schemas.openxmlformats.org/officeDocument/2006/relationships/hyperlink" Target="https://industrymall.de/en/plc/29236-festo-nebm-m12w8-e-25-le8-1451675-encoder-cable-neu.html" TargetMode="External"/><Relationship Id="rId72" Type="http://schemas.openxmlformats.org/officeDocument/2006/relationships/hyperlink" Target="https://www.reichelt.de/de/de/shop/produkt/aderendhuelsen-set_200_stueck_0_14_-_0_5_mm_-360588?PROVID=2788&amp;gad_source=1&amp;gad_campaignid=19009429412&amp;gbraid=0AAAAADwnxtYz79-ChOH9YwxlOCRicg20C&amp;gclid=Cj0KCQjw-pHPBhCdARIsAHXYWP-QTrOBwf-4jUPgJzkDR4DUeKZJlHzHwljz2lavy7-PbMxBFP8fMj0aAjmpEALw_wcB" TargetMode="External"/><Relationship Id="rId80" Type="http://schemas.openxmlformats.org/officeDocument/2006/relationships/hyperlink" Target="https://www.landefeld.de/artikel/de/qsc-6h-100-130700-blindstopfen/OT-FESTO020040?param_1=%5b%7b%22artnr%22:%22QSC-6H-100%22,%22uebereinstimmung%22:%22unbekannt%22,%22typ%22:%22fremd%22%7d%5d" TargetMode="External"/><Relationship Id="rId85" Type="http://schemas.openxmlformats.org/officeDocument/2006/relationships/hyperlink" Target="https://www.ebay.de/itm/188009820228?var=0&amp;mkevt=1&amp;mkcid=1&amp;mkrid=707-53477-19255-0&amp;campid=5338765332&amp;toolid=20006&amp;_ul=DE&amp;customid=Cj0KCQjw-pHPBhCdARIsAHXYWP8g05nLj6lfIJ3SzfSYJ0fz7ORGUdpTjMyWfEtIWgFFwwqgexkYpygaAlPxEALw_wcB|0AAAAAoJ6x-4VzUDZZRzb-8WdS5nI_2vnf|CkAKCAjw14zPBhAGEjAAS36ftR-QdrDhZJ7NOA9RCW-EV0yzIooBvBd_Kiu_gIFPcPukexGyYymx-Jtl7JEaAtW6&amp;gclid=Cj0KCQjw-pHPBhCdARIsAHXYWP8g05nLj6lfIJ3SzfSYJ0fz7ORGUdpTjMyWfEtIWgFFwwqgexkYpygaAlPxEALw_wcB&amp;gbraid=0AAAAAoJ6x-4VzUDZZRzb-8WdS5nI_2vnf&amp;wbraid=CkAKCAjw14zPBhAGEjAAS36ftR-QdrDhZJ7NOA9RCW-EV0yzIooBvBd_Kiu_gIFPcPukexGyYymx-Jtl7JEaAtW6&amp;loc_interest_ms=&amp;loc_physical_ms=9042877&amp;adtype=pla&amp;gad_source=1&amp;gad_campaignid=19777118876&amp;gbraid=0AAAAAoJ6x-4VzUDZZRzb-8WdS5nI_2vnf" TargetMode="External"/><Relationship Id="rId3" Type="http://schemas.openxmlformats.org/officeDocument/2006/relationships/hyperlink" Target="https://uk.misumi-ec.com/vona2/detail/110300442340/?PNSearch=CHBLFSN6&amp;HissuCode=CHBLFSN6&amp;Keyword=CHBLFSN6&amp;list=SuggestPreview&amp;searchFlow=suggest2products" TargetMode="External"/><Relationship Id="rId12" Type="http://schemas.openxmlformats.org/officeDocument/2006/relationships/hyperlink" Target="https://uk.misumi-ec.com/vona2/detail/110302607960/?PNSearch=HNTT5-5&amp;HissuCode=HNTT5-5&amp;Keyword=HNTT5-5&amp;list=SuggestPreview&amp;searchFlow=suggest2products" TargetMode="External"/><Relationship Id="rId17" Type="http://schemas.openxmlformats.org/officeDocument/2006/relationships/hyperlink" Target="https://uk.misumi-ec.com/vona2/detail/222302207493/?PNSearch=2903801&amp;HissuCode=2903801&amp;Keyword=2903801&amp;list=SuggestPreview&amp;searchFlow=suggest2products" TargetMode="External"/><Relationship Id="rId25" Type="http://schemas.openxmlformats.org/officeDocument/2006/relationships/hyperlink" Target="https://uk.misumi-ec.com/vona2/detail/221302434090/?PNSearch=PUN-H-4X0.75-NT&amp;HissuCode=PUN-H-4X0.75-NT&amp;Keyword=PUN-H-4X0.75-NT&amp;list=SuggestPreview&amp;searchFlow=suggest2products" TargetMode="External"/><Relationship Id="rId33" Type="http://schemas.openxmlformats.org/officeDocument/2006/relationships/hyperlink" Target="https://www.landefeld.de/artikel/de/esf-4a-191203-vakuumfilter/OT-FESTO007854" TargetMode="External"/><Relationship Id="rId38" Type="http://schemas.openxmlformats.org/officeDocument/2006/relationships/hyperlink" Target="https://uk.misumi-ec.com/vona2/detail/221302434090/?PNSearch=PUN-H-4X0.75-SW&amp;HissuCode=PUN-H-4X0.75-SW&amp;Keyword=PUN-H-4X0.75-SW&amp;list=SuggestPreview&amp;searchFlow=suggest2products" TargetMode="External"/><Relationship Id="rId46" Type="http://schemas.openxmlformats.org/officeDocument/2006/relationships/hyperlink" Target="https://uk.misumi-ec.com/vona2/detail/221302444518/?HissuCode=VUVG-L10-M52-MT-M5-1H2L-W1&amp;PNSearch=VUVG-L10-M52-MT-M5-1H2L-W1&amp;KWSearch=VUVG-L10-M52-MT-M5-1H2L-W1&amp;searchFlow=results2products&amp;list=PageSearchResult" TargetMode="External"/><Relationship Id="rId59" Type="http://schemas.openxmlformats.org/officeDocument/2006/relationships/hyperlink" Target="https://www.ebay.de/p/639946110?srsltid=AfmBOoo7twMT5u9gwjzNR4P5QMTx_SHxYYI-9XfdcGEwxeu9Noe0YXV_" TargetMode="External"/><Relationship Id="rId67" Type="http://schemas.openxmlformats.org/officeDocument/2006/relationships/hyperlink" Target="https://www.reichelt.de/de/de/shop/produkt/drucktaster_1_effner_tastend-221687?PROVID=2788&amp;gad_source=1&amp;gad_campaignid=19009429379&amp;gbraid=0AAAAADwnxtZ7VHmlN3Cmmk7fdYI1kVSuY&amp;gclid=Cj0KCQjw-pHPBhCdARIsAHXYWP-tjmlGlbziI9aKy2vEx6hAQGsCm9KcxNA6eHMaRzh4wANXc6-Fat0aAv07EALw_wcB" TargetMode="External"/><Relationship Id="rId20" Type="http://schemas.openxmlformats.org/officeDocument/2006/relationships/hyperlink" Target="https://uk.misumi-ec.com/vona2/detail/221302447971/?PNSearch=SMT-8M-A-PS-24V-E-2.5-OE&amp;HissuCode=SMT-8M-A-PS-24V-E-2.5-OE&amp;Keyword=SMT-8M-A-PS-24V-E-2.5-OE&amp;list=SuggestPreview" TargetMode="External"/><Relationship Id="rId41" Type="http://schemas.openxmlformats.org/officeDocument/2006/relationships/hyperlink" Target="https://www.amazon.de/Fippy-Cable-Holder-Management-Office/dp/B07XTCTNKF/ref=sr_1_5_sspa?crid=M59RS4OWS8O1&amp;dib=eyJ2IjoiMSJ9.0hhLnrP3Xxf49rQARDjrHtBhBqgpQvat1hORGEL7iypK9JgCvp3ASHi2s5OdOEBFe3x6H9nZUuMud77Hu9kOmUw26XiWtdc-HphClSlkx7fMJyfeNsK7VEjMf25vhRTsHbJFhVEhR4_yYmoQFuPDSZHNdzZ4Cxz7snS4SrgoW3mNjaxmXP95xwe3CtjZFy9Ga4xYplo1dm2IiGCPfxwM-eODb9sI1vrpUPvSQ9qrSdSrqV0x62kDC7qHmNOYaoFpqSk9crxgdqWhh3CWgHPec9-LsC_glPCjKHKTUU5mAQI.-GKHM9Fk3UhN1DfcH7AB1juV0a-lLK0M1_FxRJ2aC9o&amp;dib_tag=se&amp;keywords=cable+tie+holder&amp;qid=1776112381&amp;sprefix=cable+tie+holder%2Caps%2C128&amp;sr=8-5-spons&amp;aref=ynwwGew5vZ&amp;sp_csd=d2lkZ2V0TmFtZT1zcF9hdGY&amp;psc=1" TargetMode="External"/><Relationship Id="rId54" Type="http://schemas.openxmlformats.org/officeDocument/2006/relationships/hyperlink" Target="https://industrymall.de/en/sensors/29302-festo-sme-8-s-led-24-150857-proximity-sensor-neu-versiegelt.html" TargetMode="External"/><Relationship Id="rId62" Type="http://schemas.openxmlformats.org/officeDocument/2006/relationships/hyperlink" Target="https://www.amazon.de/-/en/WAGO-2587-2147-Switching-Supply-1-Phase/dp/B0FH4WRB1W/ref=ast_sto_dp_puis" TargetMode="External"/><Relationship Id="rId70" Type="http://schemas.openxmlformats.org/officeDocument/2006/relationships/hyperlink" Target="https://www.reichelt.de/de/de/shop/produkt/leergehaeuse_3_bohrungen_68_x_136_x_53_mm-221680?PROVID=2788&amp;gad_source=1&amp;gad_campaignid=1622074784&amp;gbraid=0AAAAADwnxtZ7yUjQD0zMDOeWhJCQPv4xD&amp;gclid=Cj0KCQjw-pHPBhCdARIsAHXYWP8uxrgq3fUuVYNyjeUKG-ALWzcBOA88tFX_aEObMTzwKf7BBkb4XwAaAhUZEALw_wcB" TargetMode="External"/><Relationship Id="rId75" Type="http://schemas.openxmlformats.org/officeDocument/2006/relationships/hyperlink" Target="https://www.landefeld.de/artikel/de/qsq-8-6-153210-mehrfachverteiler/OT-FESTO015466?campaign=GO_SH_landefeld_fallback_DACH&amp;gad_source=1&amp;gad_campaignid=21660067325&amp;gbraid=0AAAAAD_cjCPh3ZwTs6G-ulZdDOOG1GFOm&amp;gclid=Cj0KCQjw-pHPBhCdARIsAHXYWP8sJH9-2o4aaUOIxP3ucT813Stt7_Q-9y1s_QtTWub1FpikG9in_XgaArhsEALw_wcB" TargetMode="External"/><Relationship Id="rId83" Type="http://schemas.openxmlformats.org/officeDocument/2006/relationships/hyperlink" Target="https://industrymall.de/en/plc/26574-siemens-6gk5208-0ga00-2ac2-scalance-6gk5-208-0ga00-2ac2-xc200g-ethernet-switch.html" TargetMode="External"/><Relationship Id="rId88" Type="http://schemas.openxmlformats.org/officeDocument/2006/relationships/hyperlink" Target="https://www.digitalocean.com/pricing/managed-databases" TargetMode="External"/><Relationship Id="rId91" Type="http://schemas.openxmlformats.org/officeDocument/2006/relationships/hyperlink" Target="https://www.ebay.de/itm/117045483204?chn=ps&amp;_ul=DE&amp;norover=1&amp;mkevt=1&amp;mkrid=707-166974-037691-2&amp;mkcid=2&amp;mkscid=101&amp;itemid=117045483204&amp;targetid=2304343365564&amp;device=c&amp;mktype=pla&amp;googleloc=9042877&amp;poi=&amp;campaignid=23679528691&amp;mkgroupid=195513885498&amp;rlsatarget=pla-2304343365564&amp;abcId=10648235&amp;merchantid=114684567&amp;geoid=9042877&amp;gad_source=1&amp;gad_campaignid=23679528691&amp;gbraid=0AAAAAD_G4xZH4zj5zkLHoR0bePUhOYSNe&amp;gclid=CjwKCAjwnZfPBhAGEiwAzg-VzPOqdAD9-RzX5wrHvSBVHyXODQo09gkO0aqgKAL1qYva4CI8MR_nhhoC6bsQAvD_BwE" TargetMode="External"/><Relationship Id="rId1" Type="http://schemas.openxmlformats.org/officeDocument/2006/relationships/hyperlink" Target="https://uk.misumi-ec.com/vona2/detail/110302689610/?PNSearch=EFSP6-30030-900&amp;HissuCode=EFSP6-30030-900&amp;Keyword=EFSP6-30030-900&amp;list=SuggestPreview&amp;searchFlow=suggest2productshist" TargetMode="External"/><Relationship Id="rId6" Type="http://schemas.openxmlformats.org/officeDocument/2006/relationships/hyperlink" Target="https://uk.misumi-ec.com/vona2/detail/110302610850/?PNSearch=PACK-HNTT6-6&amp;HissuCode=PACK-HNTT6-6&amp;Keyword=PACK-HNTT6-6&amp;list=SuggestPreview&amp;searchFlow=suggest2products" TargetMode="External"/><Relationship Id="rId15" Type="http://schemas.openxmlformats.org/officeDocument/2006/relationships/hyperlink" Target="https://uk.misumi-ec.com/vona2/detail/110300446540/?PNSearch=HFC6-3090-B&amp;HissuCode=HFC6-3090-B&amp;Keyword=HFC6-3090-B&amp;list=SuggestPreview&amp;searchFlow=suggest2products" TargetMode="External"/><Relationship Id="rId23" Type="http://schemas.openxmlformats.org/officeDocument/2006/relationships/hyperlink" Target="https://uk.misumi-ec.com/vona2/detail/221302439185/?PNSearch=QSM-M5-4&amp;HissuCode=QSM-M5-4&amp;Keyword=QSM-M5-4&amp;list=SuggestPreview&amp;searchFlow=suggest2products" TargetMode="External"/><Relationship Id="rId28" Type="http://schemas.openxmlformats.org/officeDocument/2006/relationships/hyperlink" Target="https://www.pts-group.de/de/product/dpdm-q-16-50-pa-kompaktzylinder?gad_source=1&amp;gad_campaignid=22575260837&amp;gbraid=0AAAAA_LrGo87eaLc9nDmDlQwe3GYXVfsv&amp;gclid=CjwKCAjwnZfPBhAGEiwAzg-VzD6CjXA9UhYtpdbEShNjFv-JPi13yLBzpYj6Bw48CNk3whqrJJZGchoClrQQAvD_BwE" TargetMode="External"/><Relationship Id="rId36" Type="http://schemas.openxmlformats.org/officeDocument/2006/relationships/hyperlink" Target="https://www.landefeld.de/artikel/de/qsh-6-153252-steckhuelse/OT-FESTO015004" TargetMode="External"/><Relationship Id="rId49" Type="http://schemas.openxmlformats.org/officeDocument/2006/relationships/hyperlink" Target="https://industrymall.de/en/plc/26425-festo-dgsl-12-50-y3a-543979-mini-schlitten.html" TargetMode="External"/><Relationship Id="rId57" Type="http://schemas.openxmlformats.org/officeDocument/2006/relationships/hyperlink" Target="https://www.landefeld.de/artikel/de/qsml-m3-4-153332-l-steckverschraubung/OT-FESTO015396" TargetMode="External"/><Relationship Id="rId10" Type="http://schemas.openxmlformats.org/officeDocument/2006/relationships/hyperlink" Target="https://uk.misumi-ec.com/vona2/detail/110300440510/?PNSearch=HFCL5-2040-B&amp;HissuCode=HFCL5-2040-B&amp;Keyword=HFCL5-2040-B&amp;list=SuggestPreview&amp;searchFlow=suggest2products" TargetMode="External"/><Relationship Id="rId31" Type="http://schemas.openxmlformats.org/officeDocument/2006/relationships/hyperlink" Target="https://www.landefeld.de/artikel/de/vn-05-m-i3-pq2-vq2-a-532624-vakuumsaugduese/OT-FESTO027913" TargetMode="External"/><Relationship Id="rId44" Type="http://schemas.openxmlformats.org/officeDocument/2006/relationships/hyperlink" Target="https://www.sick.com/de/en/catalog/products/network-and-connection-technology/connectors-and-cables/sensor-actuator-cables/yg8u13-010va1xleax/p/p685406?tab=detail" TargetMode="External"/><Relationship Id="rId52" Type="http://schemas.openxmlformats.org/officeDocument/2006/relationships/hyperlink" Target="https://industrymall.de/en/plc/26931-festo-nebm-s1w9-e-7-q5-le6-1450739-motor-cable.html" TargetMode="External"/><Relationship Id="rId60" Type="http://schemas.openxmlformats.org/officeDocument/2006/relationships/hyperlink" Target="https://www.hyundaipower-de.com/hyundai-silent-kompressor-sac55753?srsltid=AfmBOoqcXoLkyQ1TDeEG_jNNk7SHazzcri9P3Lx-IC9JKgADlFd6-gDz" TargetMode="External"/><Relationship Id="rId65" Type="http://schemas.openxmlformats.org/officeDocument/2006/relationships/hyperlink" Target="https://tameson.de/products/schneider-electric-leitungsschutzschalter-a9n61504-e33xb?utm_source=google&amp;utm_medium=cpc&amp;utm_campaign=de_shopping_buckets_medium&amp;utm_id=21870997164&amp;utm_term=&amp;utm_content=168683102094&amp;gad_source=1&amp;gad_campaignid=21870997164&amp;gbraid=0AAAAAoTWMvJB3qJtLI-evPmpcgFEMfHM2&amp;gclid=Cj0KCQjw-pHPBhCdARIsAHXYWP-qYTJahx155uzmpEhVMITNmkbYnrhmPticFIJ-5WdRFpeiDzoRZnwaAmWQEALw_wcB" TargetMode="External"/><Relationship Id="rId73" Type="http://schemas.openxmlformats.org/officeDocument/2006/relationships/hyperlink" Target="https://www.reichelt.de/de/de/shop/produkt/aderendhuelsen-sortiment_isoliert_0_5_-_2_5_mm_-24731?PROVID=2788&amp;gad_source=1&amp;gad_campaignid=19009429412&amp;gbraid=0AAAAADwnxtYz79-ChOH9YwxlOCRicg20C&amp;gclid=Cj0KCQjw-pHPBhCdARIsAHXYWP8ZlyKe4v0vKpIh2fc-mVEVoekgZd9_SfLLrJxjxQU0lVR0UpFOjRgaAhKrEALw_wcB" TargetMode="External"/><Relationship Id="rId78" Type="http://schemas.openxmlformats.org/officeDocument/2006/relationships/hyperlink" Target="https://www.landefeld.de/artikel/de/qsml-m5-4-153333-l-steckverschraubung/OT-FESTO015398?campaign=GO_SH_landefeld_fallback_DACH&amp;gad_source=1&amp;gad_campaignid=21660067325&amp;gbraid=0AAAAAD_cjCPh3ZwTs6G-ulZdDOOG1GFOm&amp;gclid=Cj0KCQjw-pHPBhCdARIsAHXYWP_MUbvMRfIBu_TKCsDvOlhj-j9OuDNbkYWMwjL6l2pjSwPmQBmyVdgaAvR1EALw_wcB" TargetMode="External"/><Relationship Id="rId81" Type="http://schemas.openxmlformats.org/officeDocument/2006/relationships/hyperlink" Target="https://www.landefeld.de/artikel/de/tk-3-smc-schlauchschneider/OT-SMC064162?campaign=GO_SH_landefeld_fallback_DACH&amp;gad_source=1&amp;gad_campaignid=21660067325&amp;gbraid=0AAAAAD_cjCPh3ZwTs6G-ulZdDOOG1GFOm&amp;gclid=Cj0KCQjw-pHPBhCdARIsAHXYWP_5X2Q3-ajafXOC5FC7Lnpo3C3cDBOAUX0y0xVnquNm94mt0VDRYogaAkOLEALw_wcB" TargetMode="External"/><Relationship Id="rId86" Type="http://schemas.openxmlformats.org/officeDocument/2006/relationships/hyperlink" Target="https://www.ebay.de/itm/127637356070?var=0&amp;mkevt=1&amp;mkcid=1&amp;mkrid=707-53477-19255-0&amp;campid=5338765332&amp;toolid=20006&amp;_ul=DE&amp;customid=Cj0KCQjw-pHPBhCdARIsAHXYWP_lj178vLk5SfzLcpYybWtuh1MoYqk_f4i1PAT4wzp9SYkFI29zw9oaAm3nEALw_wcB|0AAAAAoJ6x-4VzUDZZRzb-8WdS5nI_2vnf|CkAKCAjw14zPBhAGEjAAS36ftR-QdrDhZJ7NOA9RCW-EV0yzIooBvBd_Kiu_gIFPcPukexGyYymx-Jtl7JEaAtW6&amp;gclid=Cj0KCQjw-pHPBhCdARIsAHXYWP_lj178vLk5SfzLcpYybWtuh1MoYqk_f4i1PAT4wzp9SYkFI29zw9oaAm3nEALw_wcB&amp;gbraid=0AAAAAoJ6x-4VzUDZZRzb-8WdS5nI_2vnf&amp;wbraid=CkAKCAjw14zPBhAGEjAAS36ftR-QdrDhZJ7NOA9RCW-EV0yzIooBvBd_Kiu_gIFPcPukexGyYymx-Jtl7JEaAtW6&amp;loc_interest_ms=&amp;loc_physical_ms=9042877&amp;adtype=pla&amp;gad_source=1&amp;gad_campaignid=19777118876&amp;gbraid=0AAAAAoJ6x-4VzUDZZRzb-8WdS5nI_2vnf" TargetMode="External"/><Relationship Id="rId4" Type="http://schemas.openxmlformats.org/officeDocument/2006/relationships/hyperlink" Target="https://uk.misumi-ec.com/vona2/detail/110302374430/?PNSearch=HFSPURE6-1220-2500&amp;HissuCode=HFSPURE6-1220-2500&amp;Keyword=HFSPURE6-1220-2500&amp;list=SuggestPreview&amp;searchFlow=suggest2productshist" TargetMode="External"/><Relationship Id="rId9" Type="http://schemas.openxmlformats.org/officeDocument/2006/relationships/hyperlink" Target="https://uk.misumi-ec.com/vona2/detail/110302266360/?PNSearch=HFPD6-3030&amp;HissuCode=HFPD6-3030&amp;Keyword=HFPD6-3030&amp;list=SuggestPreview&amp;searchFlow=suggest2products" TargetMode="External"/><Relationship Id="rId13" Type="http://schemas.openxmlformats.org/officeDocument/2006/relationships/hyperlink" Target="https://www.amazon.de/-/en/Forward-Reverse-Controller-TKS-M8-Control/dp/B09SPRMCBW/ref=pd_sbs_d_sccl_2_1/259-3627213-4013163?pd_rd_w=aQjpH&amp;content-id=amzn1.sym.a3262f15-f867-491e-909e-9c5989acfe7d&amp;pf_rd_p=a3262f15-f867-491e-909e-9c5989acfe7d&amp;pf_rd_r=SJ3D7R25DWNQNDT4P8K7&amp;pd_rd_wg=s3NyO&amp;pd_rd_r=347ea1b5-9fa6-486a-aa64-790cbef3b892&amp;pd_rd_i=B09SPRMCBW&amp;psc=1" TargetMode="External"/><Relationship Id="rId18" Type="http://schemas.openxmlformats.org/officeDocument/2006/relationships/hyperlink" Target="https://uk.misumi-ec.com/vona2/detail/222302170357/?PNSearch=2288927&amp;HissuCode=2288927&amp;Keyword=2288927&amp;list=SuggestPreview&amp;searchFlow=suggest2products" TargetMode="External"/><Relationship Id="rId39" Type="http://schemas.openxmlformats.org/officeDocument/2006/relationships/hyperlink" Target="https://uk.misumi-ec.com/vona2/detail/221302444518/?PNSearch=VUVG-L10-B52-T-M5-1H2L-W1&amp;HissuCode=VUVG-L10-B52-T-M5-1H2L-W1&amp;Keyword=VUVG-L10-B52-T-M5-1H2L-W1&amp;list=SuggestPreview&amp;searchFlow=suggest2products" TargetMode="External"/><Relationship Id="rId34" Type="http://schemas.openxmlformats.org/officeDocument/2006/relationships/hyperlink" Target="https://www.landefeld.de/artikel/de/ess-20-cs-189401-vakuumsauger/OT-FESTO007996" TargetMode="External"/><Relationship Id="rId50" Type="http://schemas.openxmlformats.org/officeDocument/2006/relationships/hyperlink" Target="https://www.ebay.de/itm/168227517318?chn=ps&amp;_ul=DE&amp;_trkparms=ispr%3D1&amp;amdata=enc%3A1Bhg4qlpKSm62C8shTlCgQg2&amp;norover=1&amp;mkevt=1&amp;mkrid=707-173151-927826-9&amp;mkcid=2&amp;mkscid=101&amp;itemid=168227517318&amp;targetid=2514621212877&amp;device=c&amp;mktype=pla&amp;googleloc=9042877&amp;poi=&amp;campaignid=21674357977&amp;mkgroupid=188231493276&amp;rlsatarget=pla-2514621212877&amp;abcId=10011854&amp;merchantid=7403772&amp;gad_source=1&amp;gad_campaignid=21674357977&amp;gbraid=0AAAAAD_G4xYRnU8T92VIyU3rdYGyme_DW&amp;gclid=Cj0KCQjw-pHPBhCdARIsAHXYWP8rOHkc9OViHz0Xc6dcxEBiR-EOC9mcK5vk18Okq42lRt-yz8Oeq-IaAiQxEALw_wcB" TargetMode="External"/><Relationship Id="rId55" Type="http://schemas.openxmlformats.org/officeDocument/2006/relationships/hyperlink" Target="https://www.landefeld.de/artikel/de/neba-m8g3-u-2-5-n-le3-8078223-verbindungsleitung/OT-FESTO096751" TargetMode="External"/><Relationship Id="rId76" Type="http://schemas.openxmlformats.org/officeDocument/2006/relationships/hyperlink" Target="https://www.landefeld.de/artikel/de/pun-h-8x125-bl-197385-kunststoffschlauch/OT-FESTO014719?campaign=GO_SH_landefeld_fallback_DACH&amp;gad_source=1&amp;gad_campaignid=21660067325&amp;gbraid=0AAAAAD_cjCPh3ZwTs6G-ulZdDOOG1GFOm&amp;gclid=Cj0KCQjw-pHPBhCdARIsAHXYWP8K_0OraEj02aQtdqH49EyafL75Q-Mw8WUlajdUjU75GmPeHoPmE1caAslIEALw_wcB" TargetMode="External"/><Relationship Id="rId7" Type="http://schemas.openxmlformats.org/officeDocument/2006/relationships/hyperlink" Target="https://uk.misumi-ec.com/vona2/detail/110302262430/?PNSearch=HFSFIN6-1554-1000&amp;HissuCode=HFSFIN6-1554-1000&amp;Keyword=HFSFIN6-1554-1000&amp;list=SuggestPreview&amp;searchFlow=suggest2products" TargetMode="External"/><Relationship Id="rId71" Type="http://schemas.openxmlformats.org/officeDocument/2006/relationships/hyperlink" Target="https://www.reichelt.de/de/de/shop/produkt/durchgangsklemme_pt_2_5_grau-209586?PROVID=2788&amp;gad_source=1&amp;gad_campaignid=19009429412&amp;gbraid=0AAAAADwnxtYz79-ChOH9YwxlOCRicg20C&amp;gclid=Cj0KCQjw-pHPBhCdARIsAHXYWP8BF6xF-t8Y0r5YJyiuRrvsJ3pSD7jI_weuN_0qj7c60ZOFggo_kN4aAvAoEALw_wcB" TargetMode="External"/><Relationship Id="rId2" Type="http://schemas.openxmlformats.org/officeDocument/2006/relationships/hyperlink" Target="https://uk.misumi-ec.com/vona2/detail/110302686450/?PNSearch=HFS6-3030-2400&amp;HissuCode=HFS6-3030-2400&amp;Keyword=HFS6-3030-2400&amp;list=SuggestPreview&amp;searchFlow=suggest2products" TargetMode="External"/><Relationship Id="rId29" Type="http://schemas.openxmlformats.org/officeDocument/2006/relationships/hyperlink" Target="https://www.landefeld.de/artikel/de/smt-10m-ps-24v-e-25-l-oe-551373-naeherungsschalter/OT-FESTO032850?campaign=GO_SH_Festo_DE&amp;gad_source=1&amp;gad_campaignid=21820866894&amp;gbraid=0AAAAAD_cjCOMfvF5FeFQRpwq1PeMmaezL&amp;gclid=CjwKCAjwhe3OBhABEiwA6392zMVYxhHZjHOR-KjCCr_a_WKSPm9gCmaYpsUjeWT2Ob5iMbRlEEpQYRoCLqUQAvD_BwE" TargetMode="External"/><Relationship Id="rId24" Type="http://schemas.openxmlformats.org/officeDocument/2006/relationships/hyperlink" Target="https://uk.misumi-ec.com/vona2/detail/221302435934/?PNSearch=AMTE-M-LH-M5&amp;HissuCode=AMTE-M-LH-M5&amp;Keyword=AMTE-M-LH-M5&amp;list=SuggestPreview&amp;searchFlow=suggest2products" TargetMode="External"/><Relationship Id="rId40" Type="http://schemas.openxmlformats.org/officeDocument/2006/relationships/hyperlink" Target="https://uk.misumi-ec.com/vona2/detail/221302438410/?PNSearch=QSQ-6-4&amp;HissuCode=QSQ-6-4&amp;Keyword=QSQ-6-4&amp;list=SuggestPreview&amp;searchFlow=suggest2products" TargetMode="External"/><Relationship Id="rId45" Type="http://schemas.openxmlformats.org/officeDocument/2006/relationships/hyperlink" Target="https://industrymall.de/en/sensors/29275-keyence-fs-n11p-fibre-amplifier-main-unit.html" TargetMode="External"/><Relationship Id="rId66" Type="http://schemas.openxmlformats.org/officeDocument/2006/relationships/hyperlink" Target="https://www.reichelt.de/de/de/shop/produkt/drucktaster_1_schliesser_tastend-221698?PROVID=2788&amp;gad_source=1&amp;gad_campaignid=21154722893&amp;gbraid=0AAAAADwnxtYgDrDv3NZ-EmJbX88nZlCFO&amp;gclid=Cj0KCQjw-pHPBhCdARIsAHXYWP8_JTaHymPzzASvScHE4Lny2UNPWmH_nl_xsFdsBZmYIqg7Esb2VXIaAm27EALw_wcB" TargetMode="External"/><Relationship Id="rId87" Type="http://schemas.openxmlformats.org/officeDocument/2006/relationships/hyperlink" Target="https://www.digitalocean.com/pricing/droplets" TargetMode="External"/><Relationship Id="rId61" Type="http://schemas.openxmlformats.org/officeDocument/2006/relationships/hyperlink" Target="https://www.reichelt.de/de/de/shop/produkt/signalampel_rot_gelb_gruen_led_24_v_ac_dc-406312?PROVID=2788&amp;gad_source=1&amp;gad_campaignid=1622074784&amp;gbraid=0AAAAADwnxtZ7yUjQD0zMDOeWhJCQPv4xD&amp;gclid=Cj0KCQjw-pHPBhCdARIsAHXYWP-_37aEZqg2GD4nDAbMWd7oTGpMMh5_PVtAkrjQ6LUPelimTreFtGYaAhyWEALw_wcB" TargetMode="External"/><Relationship Id="rId82" Type="http://schemas.openxmlformats.org/officeDocument/2006/relationships/hyperlink" Target="https://www.berrybase.de/raspberry-pi-5-starterkit-64gb-microsdhc-inkl.-pi-os-gehaeuse-netzteil-hdmi-kabel-und-zubehoer/farbe-schwarz/ram-4gb" TargetMode="External"/><Relationship Id="rId19" Type="http://schemas.openxmlformats.org/officeDocument/2006/relationships/hyperlink" Target="https://uk.misumi-ec.com/vona2/detail/221302449625/?PNSearch=DSNU-8-100-P-A&amp;HissuCode=DSNU-8-100-P-A&amp;Keyword=DSNU-8-100-P-A&amp;list=SuggestPreview&amp;searchFlow=suggest2productshist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uk.misumi-ec.com/vona2/detail/221302434090/?PNSearch=PUN-H-4X0.75-NT&amp;HissuCode=PUN-H-4X0.75-NT&amp;Keyword=PUN-H-4X0.75-NT&amp;list=SuggestPreview&amp;searchFlow=suggest2products" TargetMode="External"/><Relationship Id="rId21" Type="http://schemas.openxmlformats.org/officeDocument/2006/relationships/hyperlink" Target="https://uk.misumi-ec.com/vona2/detail/221302445913/?PNSearch=SMBR-8-8&amp;HissuCode=SMBR-8-8&amp;Keyword=SMBR-8-8&amp;list=SuggestPreview&amp;searchFlow=suggest2productshist" TargetMode="External"/><Relationship Id="rId42" Type="http://schemas.openxmlformats.org/officeDocument/2006/relationships/hyperlink" Target="https://www.amazon.de/Fippy-Cable-Holder-Management-Office/dp/B07XTCTNKF/ref=sr_1_5_sspa?crid=M59RS4OWS8O1&amp;dib=eyJ2IjoiMSJ9.0hhLnrP3Xxf49rQARDjrHtBhBqgpQvat1hORGEL7iypK9JgCvp3ASHi2s5OdOEBFe3x6H9nZUuMud77Hu9kOmUw26XiWtdc-HphClSlkx7fMJyfeNsK7VEjMf25vhRTsHbJFhVEhR4_yYmoQFuPDSZHNdzZ4Cxz7snS4SrgoW3mNjaxmXP95xwe3CtjZFy9Ga4xYplo1dm2IiGCPfxwM-eODb9sI1vrpUPvSQ9qrSdSrqV0x62kDC7qHmNOYaoFpqSk9crxgdqWhh3CWgHPec9-LsC_glPCjKHKTUU5mAQI.-GKHM9Fk3UhN1DfcH7AB1juV0a-lLK0M1_FxRJ2aC9o&amp;dib_tag=se&amp;keywords=cable+tie+holder&amp;qid=1776112381&amp;sprefix=cable+tie+holder%2Caps%2C128&amp;sr=8-5-spons&amp;aref=ynwwGew5vZ&amp;sp_csd=d2lkZ2V0TmFtZT1zcF9hdGY&amp;psc=1" TargetMode="External"/><Relationship Id="rId47" Type="http://schemas.openxmlformats.org/officeDocument/2006/relationships/hyperlink" Target="https://uk.misumi-ec.com/vona2/detail/221302434371/?PNSearch=GRLA-M5-QS-4-D&amp;HissuCode=GRLA-M5-QS-4-D&amp;Keyword=GRLA-M5-QS-4-D&amp;list=SuggestPreview&amp;searchFlow=suggest2products" TargetMode="External"/><Relationship Id="rId63" Type="http://schemas.openxmlformats.org/officeDocument/2006/relationships/hyperlink" Target="https://www.landefeld.de/artikel/de/advc-6-10-a-p-a-188065-kurzhubzylinder/OT-FESTO003870" TargetMode="External"/><Relationship Id="rId68" Type="http://schemas.openxmlformats.org/officeDocument/2006/relationships/hyperlink" Target="https://www.reichelt.de/de/de/shop/produkt/signalampel_rot_gelb_gruen_led_24_v_ac_dc-406312?PROVID=2788&amp;gad_source=1&amp;gad_campaignid=1622074784&amp;gbraid=0AAAAADwnxtZ7yUjQD0zMDOeWhJCQPv4xD&amp;gclid=Cj0KCQjw-pHPBhCdARIsAHXYWP-_37aEZqg2GD4nDAbMWd7oTGpMMh5_PVtAkrjQ6LUPelimTreFtGYaAhyWEALw_wcB" TargetMode="External"/><Relationship Id="rId84" Type="http://schemas.openxmlformats.org/officeDocument/2006/relationships/hyperlink" Target="https://www.landefeld.de/artikel/de/pun-h-6x1-bl-197384-kunststoffschlauch/OT-FESTO014715?campaign=GO_SH_landefeld_fallback_DACH&amp;gad_source=1&amp;gad_campaignid=21660067325&amp;gbraid=0AAAAAD_cjCPh3ZwTs6G-ulZdDOOG1GFOm&amp;gclid=Cj0KCQjw-pHPBhCdARIsAHXYWP8hI9rw_3KiNA1XeEWxK656x9R0MTLHV2PdWJDdqTpKHg54LNZuMLYaAgrtEALw_wcB" TargetMode="External"/><Relationship Id="rId89" Type="http://schemas.openxmlformats.org/officeDocument/2006/relationships/hyperlink" Target="https://www.berrybase.de/raspberry-pi-5-starterkit-64gb-microsdhc-inkl.-pi-os-gehaeuse-netzteil-hdmi-kabel-und-zubehoer/farbe-schwarz/ram-4gb" TargetMode="External"/><Relationship Id="rId16" Type="http://schemas.openxmlformats.org/officeDocument/2006/relationships/hyperlink" Target="https://uk.misumi-ec.com/vona2/detail/110500152830/?PNSearch=NS35-7.5-1000&amp;HissuCode=NS35-7.5-1000&amp;Keyword=NS35-7.5-1000&amp;list=SuggestPreview&amp;searchFlow=suggest2products" TargetMode="External"/><Relationship Id="rId11" Type="http://schemas.openxmlformats.org/officeDocument/2006/relationships/hyperlink" Target="https://uk.misumi-ec.com/vona2/detail/110302261370/" TargetMode="External"/><Relationship Id="rId32" Type="http://schemas.openxmlformats.org/officeDocument/2006/relationships/hyperlink" Target="https://www.landefeld.de/artikel/de/vn-05-m-i3-pq2-vq2-a-532624-vakuumsaugduese/OT-FESTO027913" TargetMode="External"/><Relationship Id="rId37" Type="http://schemas.openxmlformats.org/officeDocument/2006/relationships/hyperlink" Target="https://www.landefeld.de/artikel/de/qsh-6-153252-steckhuelse/OT-FESTO015004" TargetMode="External"/><Relationship Id="rId53" Type="http://schemas.openxmlformats.org/officeDocument/2006/relationships/hyperlink" Target="https://industrymall.de/en/plc/26425-festo-dgsl-12-50-y3a-543979-mini-schlitten.html" TargetMode="External"/><Relationship Id="rId58" Type="http://schemas.openxmlformats.org/officeDocument/2006/relationships/hyperlink" Target="https://industrymall.de/en/sensors/29302-festo-sme-8-s-led-24-150857-proximity-sensor-neu-versiegelt.html" TargetMode="External"/><Relationship Id="rId74" Type="http://schemas.openxmlformats.org/officeDocument/2006/relationships/hyperlink" Target="https://www.reichelt.de/de/de/shop/produkt/drucktaster_1_effner_tastend-221687?PROVID=2788&amp;gad_source=1&amp;gad_campaignid=19009429379&amp;gbraid=0AAAAADwnxtZ7VHmlN3Cmmk7fdYI1kVSuY&amp;gclid=Cj0KCQjw-pHPBhCdARIsAHXYWP-tjmlGlbziI9aKy2vEx6hAQGsCm9KcxNA6eHMaRzh4wANXc6-Fat0aAv07EALw_wcB" TargetMode="External"/><Relationship Id="rId79" Type="http://schemas.openxmlformats.org/officeDocument/2006/relationships/hyperlink" Target="https://www.reichelt.de/de/de/shop/produkt/aderendhuelsen-set_200_stueck_0_14_-_0_5_mm_-360588?PROVID=2788&amp;gad_source=1&amp;gad_campaignid=19009429412&amp;gbraid=0AAAAADwnxtYz79-ChOH9YwxlOCRicg20C&amp;gclid=Cj0KCQjw-pHPBhCdARIsAHXYWP-QTrOBwf-4jUPgJzkDR4DUeKZJlHzHwljz2lavy7-PbMxBFP8fMj0aAjmpEALw_wcB" TargetMode="External"/><Relationship Id="rId5" Type="http://schemas.openxmlformats.org/officeDocument/2006/relationships/hyperlink" Target="https://uk.misumi-ec.com/vona2/detail/110302261370/" TargetMode="External"/><Relationship Id="rId90" Type="http://schemas.openxmlformats.org/officeDocument/2006/relationships/hyperlink" Target="https://industrymall.de/en/plc/26574-siemens-6gk5208-0ga00-2ac2-scalance-6gk5-208-0ga00-2ac2-xc200g-ethernet-switch.html" TargetMode="External"/><Relationship Id="rId95" Type="http://schemas.openxmlformats.org/officeDocument/2006/relationships/hyperlink" Target="https://www.digitalocean.com/pricing/managed-databases" TargetMode="External"/><Relationship Id="rId22" Type="http://schemas.openxmlformats.org/officeDocument/2006/relationships/hyperlink" Target="https://uk.misumi-ec.com/vona2/detail/221302434371/?PNSearch=GRLA-M5-QS-4-D&amp;HissuCode=GRLA-M5-QS-4-D&amp;Keyword=GRLA-M5-QS-4-D&amp;list=SuggestPreview&amp;searchFlow=suggest2products" TargetMode="External"/><Relationship Id="rId27" Type="http://schemas.openxmlformats.org/officeDocument/2006/relationships/hyperlink" Target="https://industrymall.de/en/servo-engines/26403-festo-emms-st-57-m-se-g2-1370479.html" TargetMode="External"/><Relationship Id="rId43" Type="http://schemas.openxmlformats.org/officeDocument/2006/relationships/hyperlink" Target="https://www.amazon.de/Cable-Narrow-Self-Locking-Plastic-Management/dp/B0FSJQGKSG/ref=sr_1_1_sspa?crid=2CO9MGFF9DOE1&amp;dib=eyJ2IjoiMSJ9._0MQaThZGqPGh2PnuIZxW1WKJlJBB0xCSWhmMiiLvptuMWKDnG18x9MQQ4ZLbdI0tvbrdU2O8KX4iheDzuyFMuQGx_LHeyVp28686zgfG-kphoOjwig2L-umpst7DshhnLsgvXZc4fF9RghuosCq-QtGTKSMuQXMQ4gfOhJ-OEYZtFN_Mch6WFR1cTLsRFtRV2mC_gslvNuJfJUkxnNlCrAPr2lD6ODp_dAlB8QjChYjLt2KoeJxmwMP6mO7MME6Aeuf-raFXg-eUDgSjfN3bHF0qs6xGHitJHVaIn2odY8.PgHsW8aEht8GnM44TKwIGhGYdeV3v0m9soJanhin21s&amp;dib_tag=se&amp;keywords=cable%2Btie%2B100mm&amp;qid=1776112756&amp;sprefix=cable%2Btie%2B100mm%2Caps%2C148&amp;sr=8-1-spons&amp;aref=QdQk6c6vRP&amp;sp_csd=d2lkZ2V0TmFtZT1zcF9hdGY&amp;th=1" TargetMode="External"/><Relationship Id="rId48" Type="http://schemas.openxmlformats.org/officeDocument/2006/relationships/hyperlink" Target="https://uk.misumi-ec.com/vona2/detail/221302439185/?PNSearch=QSM-M5-4&amp;HissuCode=QSM-M5-4&amp;Keyword=QSM-M5-4&amp;list=SuggestPreview&amp;searchFlow=suggest2products" TargetMode="External"/><Relationship Id="rId64" Type="http://schemas.openxmlformats.org/officeDocument/2006/relationships/hyperlink" Target="https://www.landefeld.de/artikel/de/qsml-m3-4-153332-l-steckverschraubung/OT-FESTO015396" TargetMode="External"/><Relationship Id="rId69" Type="http://schemas.openxmlformats.org/officeDocument/2006/relationships/hyperlink" Target="https://www.amazon.de/-/en/WAGO-2587-2147-Switching-Supply-1-Phase/dp/B0FH4WRB1W/ref=ast_sto_dp_puis" TargetMode="External"/><Relationship Id="rId80" Type="http://schemas.openxmlformats.org/officeDocument/2006/relationships/hyperlink" Target="https://www.reichelt.de/de/de/shop/produkt/aderendhuelsen-sortiment_isoliert_0_5_-_2_5_mm_-24731?PROVID=2788&amp;gad_source=1&amp;gad_campaignid=19009429412&amp;gbraid=0AAAAADwnxtYz79-ChOH9YwxlOCRicg20C&amp;gclid=Cj0KCQjw-pHPBhCdARIsAHXYWP8ZlyKe4v0vKpIh2fc-mVEVoekgZd9_SfLLrJxjxQU0lVR0UpFOjRgaAhKrEALw_wcB" TargetMode="External"/><Relationship Id="rId85" Type="http://schemas.openxmlformats.org/officeDocument/2006/relationships/hyperlink" Target="https://www.landefeld.de/artikel/de/qsml-m5-4-153333-l-steckverschraubung/OT-FESTO015398?campaign=GO_SH_landefeld_fallback_DACH&amp;gad_source=1&amp;gad_campaignid=21660067325&amp;gbraid=0AAAAAD_cjCPh3ZwTs6G-ulZdDOOG1GFOm&amp;gclid=Cj0KCQjw-pHPBhCdARIsAHXYWP_MUbvMRfIBu_TKCsDvOlhj-j9OuDNbkYWMwjL6l2pjSwPmQBmyVdgaAvR1EALw_wcB" TargetMode="External"/><Relationship Id="rId3" Type="http://schemas.openxmlformats.org/officeDocument/2006/relationships/hyperlink" Target="https://uk.misumi-ec.com/vona2/detail/110300442340/?PNSearch=CHBLFSN6&amp;HissuCode=CHBLFSN6&amp;Keyword=CHBLFSN6&amp;list=SuggestPreview&amp;searchFlow=suggest2products" TargetMode="External"/><Relationship Id="rId12" Type="http://schemas.openxmlformats.org/officeDocument/2006/relationships/hyperlink" Target="https://uk.misumi-ec.com/vona2/detail/110302607960/?PNSearch=HNTT5-5&amp;HissuCode=HNTT5-5&amp;Keyword=HNTT5-5&amp;list=SuggestPreview&amp;searchFlow=suggest2products" TargetMode="External"/><Relationship Id="rId17" Type="http://schemas.openxmlformats.org/officeDocument/2006/relationships/hyperlink" Target="https://uk.misumi-ec.com/vona2/detail/222302207493/?PNSearch=2903801&amp;HissuCode=2903801&amp;Keyword=2903801&amp;list=SuggestPreview&amp;searchFlow=suggest2products" TargetMode="External"/><Relationship Id="rId25" Type="http://schemas.openxmlformats.org/officeDocument/2006/relationships/hyperlink" Target="https://uk.misumi-ec.com/vona2/detail/221302435934/?PNSearch=AMTE-M-LH-M5&amp;HissuCode=AMTE-M-LH-M5&amp;Keyword=AMTE-M-LH-M5&amp;list=SuggestPreview&amp;searchFlow=suggest2products" TargetMode="External"/><Relationship Id="rId33" Type="http://schemas.openxmlformats.org/officeDocument/2006/relationships/hyperlink" Target="https://www.landefeld.de/artikel/de/esh-ha-4-qs-189199-vakuumsauger-halter/OT-FESTO007889" TargetMode="External"/><Relationship Id="rId38" Type="http://schemas.openxmlformats.org/officeDocument/2006/relationships/hyperlink" Target="https://uk.misumi-ec.com/vona2/detail/221302434090/?PNSearch=PUN-H-4X0.75-BL&amp;HissuCode=PUN-H-4X0.75-BL&amp;Keyword=PUN-H-4X0.75-BL&amp;list=SuggestPreview&amp;searchFlow=suggest2products" TargetMode="External"/><Relationship Id="rId46" Type="http://schemas.openxmlformats.org/officeDocument/2006/relationships/hyperlink" Target="https://industrymall.de/en/sensors/29275-keyence-fs-n11p-fibre-amplifier-main-unit.html" TargetMode="External"/><Relationship Id="rId59" Type="http://schemas.openxmlformats.org/officeDocument/2006/relationships/hyperlink" Target="https://www.landefeld.de/artikel/de/neba-m8g3-u-2-5-n-le3-8078223-verbindungsleitung/OT-FESTO096751" TargetMode="External"/><Relationship Id="rId67" Type="http://schemas.openxmlformats.org/officeDocument/2006/relationships/hyperlink" Target="https://www.hyundaipower-de.com/hyundai-silent-kompressor-sac55753?srsltid=AfmBOoqcXoLkyQ1TDeEG_jNNk7SHazzcri9P3Lx-IC9JKgADlFd6-gDz" TargetMode="External"/><Relationship Id="rId20" Type="http://schemas.openxmlformats.org/officeDocument/2006/relationships/hyperlink" Target="https://uk.misumi-ec.com/vona2/detail/221302447971/?PNSearch=SMT-8M-A-PS-24V-E-2.5-OE&amp;HissuCode=SMT-8M-A-PS-24V-E-2.5-OE&amp;Keyword=SMT-8M-A-PS-24V-E-2.5-OE&amp;list=SuggestPreview" TargetMode="External"/><Relationship Id="rId41" Type="http://schemas.openxmlformats.org/officeDocument/2006/relationships/hyperlink" Target="https://uk.misumi-ec.com/vona2/detail/221302438410/?PNSearch=QSQ-6-4&amp;HissuCode=QSQ-6-4&amp;Keyword=QSQ-6-4&amp;list=SuggestPreview&amp;searchFlow=suggest2products" TargetMode="External"/><Relationship Id="rId54" Type="http://schemas.openxmlformats.org/officeDocument/2006/relationships/hyperlink" Target="https://www.ebay.de/itm/168227517318?chn=ps&amp;_ul=DE&amp;_trkparms=ispr%3D1&amp;amdata=enc%3A1Bhg4qlpKSm62C8shTlCgQg2&amp;norover=1&amp;mkevt=1&amp;mkrid=707-173151-927826-9&amp;mkcid=2&amp;mkscid=101&amp;itemid=168227517318&amp;targetid=2514621212877&amp;device=c&amp;mktype=pla&amp;googleloc=9042877&amp;poi=&amp;campaignid=21674357977&amp;mkgroupid=188231493276&amp;rlsatarget=pla-2514621212877&amp;abcId=10011854&amp;merchantid=7403772&amp;gad_source=1&amp;gad_campaignid=21674357977&amp;gbraid=0AAAAAD_G4xYRnU8T92VIyU3rdYGyme_DW&amp;gclid=Cj0KCQjw-pHPBhCdARIsAHXYWP8rOHkc9OViHz0Xc6dcxEBiR-EOC9mcK5vk18Okq42lRt-yz8Oeq-IaAiQxEALw_wcB" TargetMode="External"/><Relationship Id="rId62" Type="http://schemas.openxmlformats.org/officeDocument/2006/relationships/hyperlink" Target="https://uk.misumi-ec.com/vona2/detail/221302435934/?PNSearch=AMTE-M-LH-M5&amp;HissuCode=AMTE-M-LH-M5&amp;Keyword=AMTE-M-LH-M5&amp;list=SuggestPreview&amp;searchFlow=suggest2products" TargetMode="External"/><Relationship Id="rId70" Type="http://schemas.openxmlformats.org/officeDocument/2006/relationships/hyperlink" Target="https://www.beleuchtung-mit-led.de/schneider-a9f74216-3606480079566.html?gad_source=1&amp;gad_campaignid=209584939&amp;gbraid=0AAAAAD2r6l-s6HNjxFpX74-T3raQ1Ho23&amp;gclid=Cj0KCQjw-pHPBhCdARIsAHXYWP-tFyCC9zoDxYO2OotNsgBUG18xGICvPVdGxu2XfPOSj88NIxtADT8aAhnVEALw_wcB" TargetMode="External"/><Relationship Id="rId75" Type="http://schemas.openxmlformats.org/officeDocument/2006/relationships/hyperlink" Target="https://www.reichelt.de/de/de/shop/produkt/wahlschalter_22_mm_2_stellungen_rastend_2_schliesser-340232?PROVID=2788&amp;gad_source=1&amp;gad_campaignid=19009429418&amp;gbraid=0AAAAADwnxtaXhONZpO4LO6cBuX1axOVOa&amp;gclid=Cj0KCQjw-pHPBhCdARIsAHXYWP_jTWJ7YWUrWylfBprcSeUFSvhA_CnIO3d1KlyocnzHKoNI1dI6RaMaAglcEALw_wcB" TargetMode="External"/><Relationship Id="rId83" Type="http://schemas.openxmlformats.org/officeDocument/2006/relationships/hyperlink" Target="https://www.landefeld.de/artikel/de/pun-h-8x125-bl-197385-kunststoffschlauch/OT-FESTO014719?campaign=GO_SH_landefeld_fallback_DACH&amp;gad_source=1&amp;gad_campaignid=21660067325&amp;gbraid=0AAAAAD_cjCPh3ZwTs6G-ulZdDOOG1GFOm&amp;gclid=Cj0KCQjw-pHPBhCdARIsAHXYWP8K_0OraEj02aQtdqH49EyafL75Q-Mw8WUlajdUjU75GmPeHoPmE1caAslIEALw_wcB" TargetMode="External"/><Relationship Id="rId88" Type="http://schemas.openxmlformats.org/officeDocument/2006/relationships/hyperlink" Target="https://www.landefeld.de/artikel/de/tk-3-smc-schlauchschneider/OT-SMC064162?campaign=GO_SH_landefeld_fallback_DACH&amp;gad_source=1&amp;gad_campaignid=21660067325&amp;gbraid=0AAAAAD_cjCPh3ZwTs6G-ulZdDOOG1GFOm&amp;gclid=Cj0KCQjw-pHPBhCdARIsAHXYWP_5X2Q3-ajafXOC5FC7Lnpo3C3cDBOAUX0y0xVnquNm94mt0VDRYogaAkOLEALw_wcB" TargetMode="External"/><Relationship Id="rId91" Type="http://schemas.openxmlformats.org/officeDocument/2006/relationships/hyperlink" Target="https://industrymall.de/en/plc/28995-siemens-6es7212-1ae40-0xb0-simatic-s7-1200-6es7-212-1ae40-0xb0-cpu-1212c-dc-dc-dc.html" TargetMode="External"/><Relationship Id="rId96" Type="http://schemas.openxmlformats.org/officeDocument/2006/relationships/hyperlink" Target="https://github.com/features/copilot/plans" TargetMode="External"/><Relationship Id="rId1" Type="http://schemas.openxmlformats.org/officeDocument/2006/relationships/hyperlink" Target="https://uk.misumi-ec.com/vona2/detail/110302689610/?PNSearch=EFSP6-30030-900&amp;HissuCode=EFSP6-30030-900&amp;Keyword=EFSP6-30030-900&amp;list=SuggestPreview&amp;searchFlow=suggest2productshist" TargetMode="External"/><Relationship Id="rId6" Type="http://schemas.openxmlformats.org/officeDocument/2006/relationships/hyperlink" Target="https://uk.misumi-ec.com/vona2/detail/110302610850/?PNSearch=PACK-HNTT6-6&amp;HissuCode=PACK-HNTT6-6&amp;Keyword=PACK-HNTT6-6&amp;list=SuggestPreview&amp;searchFlow=suggest2products" TargetMode="External"/><Relationship Id="rId15" Type="http://schemas.openxmlformats.org/officeDocument/2006/relationships/hyperlink" Target="https://uk.misumi-ec.com/vona2/detail/110300446540/?PNSearch=HFC6-3090-B&amp;HissuCode=HFC6-3090-B&amp;Keyword=HFC6-3090-B&amp;list=SuggestPreview&amp;searchFlow=suggest2products" TargetMode="External"/><Relationship Id="rId23" Type="http://schemas.openxmlformats.org/officeDocument/2006/relationships/hyperlink" Target="https://uk.misumi-ec.com/vona2/detail/221302439185/?PNSearch=QSM-M5-4&amp;HissuCode=QSM-M5-4&amp;Keyword=QSM-M5-4&amp;list=SuggestPreview&amp;searchFlow=suggest2products" TargetMode="External"/><Relationship Id="rId28" Type="http://schemas.openxmlformats.org/officeDocument/2006/relationships/hyperlink" Target="https://uk.misumi-ec.com/vona2/detail/221302433796/?PNSearch=SDE5-V1-O-Q6-P-M8&amp;HissuCode=SDE5-V1-O-Q6-P-M8&amp;Keyword=SDE5-V1-O-Q6-P-M8&amp;list=SuggestPreview&amp;searchFlow=suggest2productshist" TargetMode="External"/><Relationship Id="rId36" Type="http://schemas.openxmlformats.org/officeDocument/2006/relationships/hyperlink" Target="https://www.landefeld.de/artikel/de/qsm-6h-4-153329-steckverbindung/OT-FESTO015349" TargetMode="External"/><Relationship Id="rId49" Type="http://schemas.openxmlformats.org/officeDocument/2006/relationships/hyperlink" Target="https://www.ebay.de/itm/117045483204?chn=ps&amp;_ul=DE&amp;norover=1&amp;mkevt=1&amp;mkrid=707-166974-037691-2&amp;mkcid=2&amp;mkscid=101&amp;itemid=117045483204&amp;targetid=2304343365564&amp;device=c&amp;mktype=pla&amp;googleloc=9042877&amp;poi=&amp;campaignid=23679528691&amp;mkgroupid=195513885498&amp;rlsatarget=pla-2304343365564&amp;abcId=10648235&amp;merchantid=114684567&amp;geoid=9042877&amp;gad_source=1&amp;gad_campaignid=23679528691&amp;gbraid=0AAAAAD_G4xZH4zj5zkLHoR0bePUhOYSNe&amp;gclid=CjwKCAjwnZfPBhAGEiwAzg-VzPOqdAD9-RzX5wrHvSBVHyXODQo09gkO0aqgKAL1qYva4CI8MR_nhhoC6bsQAvD_BwE" TargetMode="External"/><Relationship Id="rId57" Type="http://schemas.openxmlformats.org/officeDocument/2006/relationships/hyperlink" Target="https://www.mouser.de/ProductDetail/ZF/DC1C-A1RB?qs=Z7NFYKyvgJf36qdXxs3wkA%3D%3D" TargetMode="External"/><Relationship Id="rId10" Type="http://schemas.openxmlformats.org/officeDocument/2006/relationships/hyperlink" Target="https://uk.misumi-ec.com/vona2/detail/110300440510/?PNSearch=HFCL5-2040-B&amp;HissuCode=HFCL5-2040-B&amp;Keyword=HFCL5-2040-B&amp;list=SuggestPreview&amp;searchFlow=suggest2products" TargetMode="External"/><Relationship Id="rId31" Type="http://schemas.openxmlformats.org/officeDocument/2006/relationships/hyperlink" Target="https://www.landefeld.de/artikel/de/vrpa-cm-q4-e-8086003-druckregler/OT-FESTO082872" TargetMode="External"/><Relationship Id="rId44" Type="http://schemas.openxmlformats.org/officeDocument/2006/relationships/hyperlink" Target="https://industrymall.de/en/sensors/28370-sick-wtb4-3p2161-1028099-photoelectric-sensor.html" TargetMode="External"/><Relationship Id="rId52" Type="http://schemas.openxmlformats.org/officeDocument/2006/relationships/hyperlink" Target="https://industrymall.de/en/hydraulics/27019-festo-egc-80-700-tb-kf-0h-gk-556814-toothed-belt-axis.html" TargetMode="External"/><Relationship Id="rId60" Type="http://schemas.openxmlformats.org/officeDocument/2006/relationships/hyperlink" Target="https://uk.misumi-ec.com/vona2/detail/221302434371/?PNSearch=GRLA-M5-QS-4-D&amp;HissuCode=GRLA-M5-QS-4-D&amp;Keyword=GRLA-M5-QS-4-D&amp;list=SuggestPreview&amp;searchFlow=suggest2products" TargetMode="External"/><Relationship Id="rId65" Type="http://schemas.openxmlformats.org/officeDocument/2006/relationships/hyperlink" Target="https://de.rs-online.com/web/p/kabelkanale/7202777?cm_mmc=DE-PLA-DS3A-_-google-_-CSS_DE_DE_PMAX_Catch+All-_--_-7202777&amp;matchtype=&amp;&amp;gclsrc=aw.ds&amp;gad_source=1&amp;gad_campaignid=20579356490&amp;gbraid=0AAAAADkeWNPD4_1QQU0aAU3qwbLbLzapd&amp;gclid=Cj0KCQjw-pHPBhCdARIsAHXYWP-8CHmwsL3iiwJieNt5ExTFUuqBcTP0krnkP00--cE_3lYnREF2zvgaAmrIEALw_wcB" TargetMode="External"/><Relationship Id="rId73" Type="http://schemas.openxmlformats.org/officeDocument/2006/relationships/hyperlink" Target="https://www.reichelt.de/de/de/shop/produkt/drucktaster_1_schliesser_tastend-221698?PROVID=2788&amp;gad_source=1&amp;gad_campaignid=21154722893&amp;gbraid=0AAAAADwnxtYgDrDv3NZ-EmJbX88nZlCFO&amp;gclid=Cj0KCQjw-pHPBhCdARIsAHXYWP8_JTaHymPzzASvScHE4Lny2UNPWmH_nl_xsFdsBZmYIqg7Esb2VXIaAm27EALw_wcB" TargetMode="External"/><Relationship Id="rId78" Type="http://schemas.openxmlformats.org/officeDocument/2006/relationships/hyperlink" Target="https://www.reichelt.de/de/de/shop/produkt/durchgangsklemme_pt_2_5_grau-209586?PROVID=2788&amp;gad_source=1&amp;gad_campaignid=19009429412&amp;gbraid=0AAAAADwnxtYz79-ChOH9YwxlOCRicg20C&amp;gclid=Cj0KCQjw-pHPBhCdARIsAHXYWP8BF6xF-t8Y0r5YJyiuRrvsJ3pSD7jI_weuN_0qj7c60ZOFggo_kN4aAvAoEALw_wcB" TargetMode="External"/><Relationship Id="rId81" Type="http://schemas.openxmlformats.org/officeDocument/2006/relationships/hyperlink" Target="https://www.landefeld.de/artikel/de/qs-g14-8-50-132040-steckverschraubung/OT-FESTO024341?campaign=GO_SH_landefeld_fallback_DACH&amp;gad_source=1&amp;gad_campaignid=21660067325&amp;gbraid=0AAAAAD_cjCPh3ZwTs6G-ulZdDOOG1GFOm&amp;gclid=Cj0KCQjw-pHPBhCdARIsAHXYWP-_W5uvqzSQtL0Q7WdbRqSzFwOIzZfxoJoCetBgbSEUzLQVmP75GHcaAvIoEALw_wcB" TargetMode="External"/><Relationship Id="rId86" Type="http://schemas.openxmlformats.org/officeDocument/2006/relationships/hyperlink" Target="https://www.landefeld.de/artikel/de/qsc-4h-100-130699-blindstopfen/OT-FESTO020038?campaign=GO_SH_landefeld_fallback_DACH&amp;gad_source=1&amp;gad_campaignid=21660067325&amp;gbraid=0AAAAAD_cjCPh3ZwTs6G-ulZdDOOG1GFOm&amp;gclid=Cj0KCQjw-pHPBhCdARIsAHXYWP-VdyomduuHw1jUPyBIo_NQB-L_-oN0ExPQjYhN2-GRppElA1FraZAaAglvEALw_wcB" TargetMode="External"/><Relationship Id="rId94" Type="http://schemas.openxmlformats.org/officeDocument/2006/relationships/hyperlink" Target="https://www.digitalocean.com/pricing/droplets" TargetMode="External"/><Relationship Id="rId4" Type="http://schemas.openxmlformats.org/officeDocument/2006/relationships/hyperlink" Target="https://uk.misumi-ec.com/vona2/detail/110302374430/?PNSearch=HFSPURE6-1220-2500&amp;HissuCode=HFSPURE6-1220-2500&amp;Keyword=HFSPURE6-1220-2500&amp;list=SuggestPreview&amp;searchFlow=suggest2productshist" TargetMode="External"/><Relationship Id="rId9" Type="http://schemas.openxmlformats.org/officeDocument/2006/relationships/hyperlink" Target="https://uk.misumi-ec.com/vona2/detail/110302266360/?PNSearch=HFPD6-3030&amp;HissuCode=HFPD6-3030&amp;Keyword=HFPD6-3030&amp;list=SuggestPreview&amp;searchFlow=suggest2products" TargetMode="External"/><Relationship Id="rId13" Type="http://schemas.openxmlformats.org/officeDocument/2006/relationships/hyperlink" Target="https://www.amazon.de/-/en/Forward-Reverse-Controller-TKS-M8-Control/dp/B09SPRMCBW/ref=pd_sbs_d_sccl_2_1/259-3627213-4013163?pd_rd_w=aQjpH&amp;content-id=amzn1.sym.a3262f15-f867-491e-909e-9c5989acfe7d&amp;pf_rd_p=a3262f15-f867-491e-909e-9c5989acfe7d&amp;pf_rd_r=SJ3D7R25DWNQNDT4P8K7&amp;pd_rd_wg=s3NyO&amp;pd_rd_r=347ea1b5-9fa6-486a-aa64-790cbef3b892&amp;pd_rd_i=B09SPRMCBW&amp;psc=1" TargetMode="External"/><Relationship Id="rId18" Type="http://schemas.openxmlformats.org/officeDocument/2006/relationships/hyperlink" Target="https://uk.misumi-ec.com/vona2/detail/222302170357/?PNSearch=2288927&amp;HissuCode=2288927&amp;Keyword=2288927&amp;list=SuggestPreview&amp;searchFlow=suggest2products" TargetMode="External"/><Relationship Id="rId39" Type="http://schemas.openxmlformats.org/officeDocument/2006/relationships/hyperlink" Target="https://uk.misumi-ec.com/vona2/detail/221302434090/?PNSearch=PUN-H-4X0.75-SW&amp;HissuCode=PUN-H-4X0.75-SW&amp;Keyword=PUN-H-4X0.75-SW&amp;list=SuggestPreview&amp;searchFlow=suggest2products" TargetMode="External"/><Relationship Id="rId34" Type="http://schemas.openxmlformats.org/officeDocument/2006/relationships/hyperlink" Target="https://www.landefeld.de/artikel/de/esf-4a-191203-vakuumfilter/OT-FESTO007854" TargetMode="External"/><Relationship Id="rId50" Type="http://schemas.openxmlformats.org/officeDocument/2006/relationships/hyperlink" Target="https://uk.misumi-ec.com/vona2/detail/221302435934/?PNSearch=AMTE-M-LH-M5&amp;HissuCode=AMTE-M-LH-M5&amp;Keyword=AMTE-M-LH-M5&amp;list=SuggestPreview&amp;searchFlow=suggest2products" TargetMode="External"/><Relationship Id="rId55" Type="http://schemas.openxmlformats.org/officeDocument/2006/relationships/hyperlink" Target="https://industrymall.de/en/plc/29236-festo-nebm-m12w8-e-25-le8-1451675-encoder-cable-neu.html" TargetMode="External"/><Relationship Id="rId76" Type="http://schemas.openxmlformats.org/officeDocument/2006/relationships/hyperlink" Target="https://www.reichelt.de/de/de/shop/produkt/aufbaugehaeuse_not-halt_not-aus_1_schliesser_1_effner_fuer_22-221635?PROVID=2788&amp;gad_source=1&amp;gad_campaignid=21154720511&amp;gbraid=0AAAAADwnxtYXWeYdkLjaoCc3RI-rKXXa9&amp;gclid=Cj0KCQjw-pHPBhCdARIsAHXYWP--1wkIpCelIEtYnaoJLiULmgsgNe_Tuz8MKXAuBj93Xe6J6_FpGA8aAtZJEALw_wcB" TargetMode="External"/><Relationship Id="rId97" Type="http://schemas.openxmlformats.org/officeDocument/2006/relationships/hyperlink" Target="https://uk.misumi-ec.com/vona2/detail/110302687330/?CategorySpec=00000150379%3A%3Aa%0900000150384%3A%3Ac%0900000150389%3A%3Amig00000002007324%0900000151296%3A%3Amig00000002011826&amp;list=PageCategory" TargetMode="External"/><Relationship Id="rId7" Type="http://schemas.openxmlformats.org/officeDocument/2006/relationships/hyperlink" Target="https://uk.misumi-ec.com/vona2/detail/110302262430/?PNSearch=HFSFIN6-1554-1000&amp;HissuCode=HFSFIN6-1554-1000&amp;Keyword=HFSFIN6-1554-1000&amp;list=SuggestPreview&amp;searchFlow=suggest2products" TargetMode="External"/><Relationship Id="rId71" Type="http://schemas.openxmlformats.org/officeDocument/2006/relationships/hyperlink" Target="https://www.beleuchtung-mit-led.de/schneider-electric-a9f04116-3606480440366-leitungsschutzschalter-ic60n-1p-16a-c-charakteristik.html?gad_source=1&amp;gad_campaignid=209584939&amp;gbraid=0AAAAAD2r6l-s6HNjxFpX74-T3raQ1Ho23&amp;gclid=Cj0KCQjw-pHPBhCdARIsAHXYWP-yr1ZVmzBmzkquvKjxCwm-JVEOp0CQ-30MsD0OH_vYMnwntt9TUFUaAmeiEALw_wcB" TargetMode="External"/><Relationship Id="rId92" Type="http://schemas.openxmlformats.org/officeDocument/2006/relationships/hyperlink" Target="https://www.ebay.de/itm/188009820228?var=0&amp;mkevt=1&amp;mkcid=1&amp;mkrid=707-53477-19255-0&amp;campid=5338765332&amp;toolid=20006&amp;_ul=DE&amp;customid=Cj0KCQjw-pHPBhCdARIsAHXYWP8g05nLj6lfIJ3SzfSYJ0fz7ORGUdpTjMyWfEtIWgFFwwqgexkYpygaAlPxEALw_wcB|0AAAAAoJ6x-4VzUDZZRzb-8WdS5nI_2vnf|CkAKCAjw14zPBhAGEjAAS36ftR-QdrDhZJ7NOA9RCW-EV0yzIooBvBd_Kiu_gIFPcPukexGyYymx-Jtl7JEaAtW6&amp;gclid=Cj0KCQjw-pHPBhCdARIsAHXYWP8g05nLj6lfIJ3SzfSYJ0fz7ORGUdpTjMyWfEtIWgFFwwqgexkYpygaAlPxEALw_wcB&amp;gbraid=0AAAAAoJ6x-4VzUDZZRzb-8WdS5nI_2vnf&amp;wbraid=CkAKCAjw14zPBhAGEjAAS36ftR-QdrDhZJ7NOA9RCW-EV0yzIooBvBd_Kiu_gIFPcPukexGyYymx-Jtl7JEaAtW6&amp;loc_interest_ms=&amp;loc_physical_ms=9042877&amp;adtype=pla&amp;gad_source=1&amp;gad_campaignid=19777118876&amp;gbraid=0AAAAAoJ6x-4VzUDZZRzb-8WdS5nI_2vnf" TargetMode="External"/><Relationship Id="rId2" Type="http://schemas.openxmlformats.org/officeDocument/2006/relationships/hyperlink" Target="https://uk.misumi-ec.com/vona2/detail/110302686450/?PNSearch=HFS6-3030-2400&amp;HissuCode=HFS6-3030-2400&amp;Keyword=HFS6-3030-2400&amp;list=SuggestPreview&amp;searchFlow=suggest2products" TargetMode="External"/><Relationship Id="rId29" Type="http://schemas.openxmlformats.org/officeDocument/2006/relationships/hyperlink" Target="https://uk.misumi-ec.com/vona2/detail/221302449850/?PNSearch=DPDM-Q-16-50-PA&amp;HissuCode=DPDM-Q-16-50-PA&amp;Keyword=DPDM-Q-16-50-PA&amp;list=SuggestPreview&amp;searchFlow=suggest2products" TargetMode="External"/><Relationship Id="rId24" Type="http://schemas.openxmlformats.org/officeDocument/2006/relationships/hyperlink" Target="https://uk.misumi-ec.com/vona2/detail/221302444518/?HissuCode=VUVG-L10-M52-MT-M5-1H2L-W1&amp;PNSearch=VUVG-L10-M52-MT-M5-1H2L-W1&amp;KWSearch=VUVG-L10-M52-MT-M5-1H2L-W1&amp;searchFlow=results2products&amp;list=PageSearchResult" TargetMode="External"/><Relationship Id="rId40" Type="http://schemas.openxmlformats.org/officeDocument/2006/relationships/hyperlink" Target="https://uk.misumi-ec.com/vona2/detail/221302444518/?PNSearch=VUVG-L10-B52-T-M5-1H2L-W1&amp;HissuCode=VUVG-L10-B52-T-M5-1H2L-W1&amp;Keyword=VUVG-L10-B52-T-M5-1H2L-W1&amp;list=SuggestPreview&amp;searchFlow=suggest2products" TargetMode="External"/><Relationship Id="rId45" Type="http://schemas.openxmlformats.org/officeDocument/2006/relationships/hyperlink" Target="https://www.sick.com/de/en/catalog/products/network-and-connection-technology/connectors-and-cables/sensor-actuator-cables/yg8u13-010va1xleax/p/p685406?tab=detail" TargetMode="External"/><Relationship Id="rId66" Type="http://schemas.openxmlformats.org/officeDocument/2006/relationships/hyperlink" Target="https://www.ebay.de/p/639946110?srsltid=AfmBOoo7twMT5u9gwjzNR4P5QMTx_SHxYYI-9XfdcGEwxeu9Noe0YXV_" TargetMode="External"/><Relationship Id="rId87" Type="http://schemas.openxmlformats.org/officeDocument/2006/relationships/hyperlink" Target="https://www.landefeld.de/artikel/de/qsc-6h-100-130700-blindstopfen/OT-FESTO020040?param_1=%5b%7b%22artnr%22:%22QSC-6H-100%22,%22uebereinstimmung%22:%22unbekannt%22,%22typ%22:%22fremd%22%7d%5d" TargetMode="External"/><Relationship Id="rId61" Type="http://schemas.openxmlformats.org/officeDocument/2006/relationships/hyperlink" Target="https://uk.misumi-ec.com/vona2/detail/221302439185/?PNSearch=QSM-M5-4&amp;HissuCode=QSM-M5-4&amp;Keyword=QSM-M5-4&amp;list=SuggestPreview&amp;searchFlow=suggest2products" TargetMode="External"/><Relationship Id="rId82" Type="http://schemas.openxmlformats.org/officeDocument/2006/relationships/hyperlink" Target="https://www.landefeld.de/artikel/de/qsq-8-6-153210-mehrfachverteiler/OT-FESTO015466?campaign=GO_SH_landefeld_fallback_DACH&amp;gad_source=1&amp;gad_campaignid=21660067325&amp;gbraid=0AAAAAD_cjCPh3ZwTs6G-ulZdDOOG1GFOm&amp;gclid=Cj0KCQjw-pHPBhCdARIsAHXYWP8sJH9-2o4aaUOIxP3ucT813Stt7_Q-9y1s_QtTWub1FpikG9in_XgaArhsEALw_wcB" TargetMode="External"/><Relationship Id="rId19" Type="http://schemas.openxmlformats.org/officeDocument/2006/relationships/hyperlink" Target="https://uk.misumi-ec.com/vona2/detail/221302449625/?PNSearch=DSNU-8-100-P-A&amp;HissuCode=DSNU-8-100-P-A&amp;Keyword=DSNU-8-100-P-A&amp;list=SuggestPreview&amp;searchFlow=suggest2productshist" TargetMode="External"/><Relationship Id="rId14" Type="http://schemas.openxmlformats.org/officeDocument/2006/relationships/hyperlink" Target="https://www.amazon.de/dp/B0FMRKYWDN/ref=sspa_dk_detail_0?psc=1&amp;pd_rd_i=B0FMRKYWDN&amp;pd_rd_w=88kgb&amp;content-id=amzn1.sym.bf6dbf94-e926-4351-8952-c09f45cdef70&amp;pf_rd_p=bf6dbf94-e926-4351-8952-c09f45cdef70&amp;pf_rd_r=7M2R9N86TSWQYCPYT7S4&amp;pd_rd_wg=05mm0&amp;pd_rd_r=0361403c-ccf8-4582-b420-77dd8d800f41&amp;aref=kXP1VQjkcR&amp;sp_csd=d2lkZ2V0TmFtZT1zcF9kZXRhaWw" TargetMode="External"/><Relationship Id="rId30" Type="http://schemas.openxmlformats.org/officeDocument/2006/relationships/hyperlink" Target="https://www.landefeld.de/artikel/de/smt-10m-ps-24v-e-25-l-oe-551373-naeherungsschalter/OT-FESTO032850?campaign=GO_SH_Festo_DE&amp;gad_source=1&amp;gad_campaignid=21820866894&amp;gbraid=0AAAAAD_cjCOMfvF5FeFQRpwq1PeMmaezL&amp;gclid=CjwKCAjwhe3OBhABEiwA6392zMVYxhHZjHOR-KjCCr_a_WKSPm9gCmaYpsUjeWT2Ob5iMbRlEEpQYRoCLqUQAvD_BwE" TargetMode="External"/><Relationship Id="rId35" Type="http://schemas.openxmlformats.org/officeDocument/2006/relationships/hyperlink" Target="https://www.landefeld.de/artikel/de/ess-20-cs-189401-vakuumsauger/OT-FESTO007996" TargetMode="External"/><Relationship Id="rId56" Type="http://schemas.openxmlformats.org/officeDocument/2006/relationships/hyperlink" Target="https://industrymall.de/en/plc/26931-festo-nebm-s1w9-e-7-q5-le6-1450739-motor-cable.html" TargetMode="External"/><Relationship Id="rId77" Type="http://schemas.openxmlformats.org/officeDocument/2006/relationships/hyperlink" Target="https://www.reichelt.de/de/de/shop/produkt/leergehaeuse_3_bohrungen_68_x_136_x_53_mm-221680?PROVID=2788&amp;gad_source=1&amp;gad_campaignid=1622074784&amp;gbraid=0AAAAADwnxtZ7yUjQD0zMDOeWhJCQPv4xD&amp;gclid=Cj0KCQjw-pHPBhCdARIsAHXYWP8uxrgq3fUuVYNyjeUKG-ALWzcBOA88tFX_aEObMTzwKf7BBkb4XwAaAhUZEALw_wcB" TargetMode="External"/><Relationship Id="rId8" Type="http://schemas.openxmlformats.org/officeDocument/2006/relationships/hyperlink" Target="https://uk.misumi-ec.com/vona2/detail/110302684350/?PNSearch=HFS5-2040-1500&amp;HissuCode=HFS5-2040-1500&amp;Keyword=HFS5-2040-1500&amp;list=SuggestPreview&amp;searchFlow=suggest2products" TargetMode="External"/><Relationship Id="rId51" Type="http://schemas.openxmlformats.org/officeDocument/2006/relationships/hyperlink" Target="https://industrymall.de/en/plc/26331-festo-8084004-cmmt-st-c8-1c-pn-s0-servo.html" TargetMode="External"/><Relationship Id="rId72" Type="http://schemas.openxmlformats.org/officeDocument/2006/relationships/hyperlink" Target="https://tameson.de/products/schneider-electric-leitungsschutzschalter-a9n61504-e33xb?utm_source=google&amp;utm_medium=cpc&amp;utm_campaign=de_shopping_buckets_medium&amp;utm_id=21870997164&amp;utm_term=&amp;utm_content=168683102094&amp;gad_source=1&amp;gad_campaignid=21870997164&amp;gbraid=0AAAAAoTWMvJB3qJtLI-evPmpcgFEMfHM2&amp;gclid=Cj0KCQjw-pHPBhCdARIsAHXYWP-qYTJahx155uzmpEhVMITNmkbYnrhmPticFIJ-5WdRFpeiDzoRZnwaAmWQEALw_wcB" TargetMode="External"/><Relationship Id="rId93" Type="http://schemas.openxmlformats.org/officeDocument/2006/relationships/hyperlink" Target="https://www.ebay.de/itm/127637356070?var=0&amp;mkevt=1&amp;mkcid=1&amp;mkrid=707-53477-19255-0&amp;campid=5338765332&amp;toolid=20006&amp;_ul=DE&amp;customid=Cj0KCQjw-pHPBhCdARIsAHXYWP_lj178vLk5SfzLcpYybWtuh1MoYqk_f4i1PAT4wzp9SYkFI29zw9oaAm3nEALw_wcB|0AAAAAoJ6x-4VzUDZZRzb-8WdS5nI_2vnf|CkAKCAjw14zPBhAGEjAAS36ftR-QdrDhZJ7NOA9RCW-EV0yzIooBvBd_Kiu_gIFPcPukexGyYymx-Jtl7JEaAtW6&amp;gclid=Cj0KCQjw-pHPBhCdARIsAHXYWP_lj178vLk5SfzLcpYybWtuh1MoYqk_f4i1PAT4wzp9SYkFI29zw9oaAm3nEALw_wcB&amp;gbraid=0AAAAAoJ6x-4VzUDZZRzb-8WdS5nI_2vnf&amp;wbraid=CkAKCAjw14zPBhAGEjAAS36ftR-QdrDhZJ7NOA9RCW-EV0yzIooBvBd_Kiu_gIFPcPukexGyYymx-Jtl7JEaAtW6&amp;loc_interest_ms=&amp;loc_physical_ms=9042877&amp;adtype=pla&amp;gad_source=1&amp;gad_campaignid=19777118876&amp;gbraid=0AAAAAoJ6x-4VzUDZZRzb-8WdS5nI_2vnf" TargetMode="External"/><Relationship Id="rId98" Type="http://schemas.openxmlformats.org/officeDocument/2006/relationships/hyperlink" Target="https://www.ebay.de/itm/117045483204?chn=ps&amp;_ul=DE&amp;norover=1&amp;mkevt=1&amp;mkrid=707-166974-037691-2&amp;mkcid=2&amp;mkscid=101&amp;itemid=117045483204&amp;targetid=2304343365564&amp;device=c&amp;mktype=pla&amp;googleloc=9042877&amp;poi=&amp;campaignid=23679528691&amp;mkgroupid=195513885498&amp;rlsatarget=pla-2304343365564&amp;abcId=10648235&amp;merchantid=114684567&amp;geoid=9042877&amp;gad_source=1&amp;gad_campaignid=23679528691&amp;gbraid=0AAAAAD_G4xZH4zj5zkLHoR0bePUhOYSNe&amp;gclid=CjwKCAjwnZfPBhAGEiwAzg-VzPOqdAD9-RzX5wrHvSBVHyXODQo09gkO0aqgKAL1qYva4CI8MR_nhhoC6bs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5504-EF74-48C6-B020-382651E1420E}">
  <dimension ref="B2:T95"/>
  <sheetViews>
    <sheetView tabSelected="1" workbookViewId="0">
      <selection activeCell="C36" sqref="C36"/>
    </sheetView>
  </sheetViews>
  <sheetFormatPr defaultRowHeight="15" x14ac:dyDescent="0.25"/>
  <cols>
    <col min="1" max="1" width="3.5703125" customWidth="1"/>
    <col min="2" max="2" width="9.28515625" customWidth="1"/>
    <col min="3" max="3" width="81.28515625" customWidth="1"/>
    <col min="4" max="4" width="29.7109375" bestFit="1" customWidth="1"/>
    <col min="5" max="5" width="32.7109375" bestFit="1" customWidth="1"/>
    <col min="6" max="6" width="10.42578125" customWidth="1"/>
    <col min="7" max="7" width="16.140625" bestFit="1" customWidth="1"/>
    <col min="8" max="8" width="25.28515625" bestFit="1" customWidth="1"/>
    <col min="9" max="9" width="7" bestFit="1" customWidth="1"/>
    <col min="10" max="10" width="7.85546875" bestFit="1" customWidth="1"/>
    <col min="11" max="11" width="11" bestFit="1" customWidth="1"/>
    <col min="12" max="13" width="10.28515625" bestFit="1" customWidth="1"/>
    <col min="14" max="14" width="2.140625" customWidth="1"/>
    <col min="15" max="15" width="12.7109375" customWidth="1"/>
    <col min="16" max="16" width="41.140625" bestFit="1" customWidth="1"/>
    <col min="17" max="17" width="47.85546875" bestFit="1" customWidth="1"/>
    <col min="18" max="18" width="47" bestFit="1" customWidth="1"/>
    <col min="19" max="19" width="28.85546875" bestFit="1" customWidth="1"/>
    <col min="20" max="20" width="42.42578125" bestFit="1" customWidth="1"/>
  </cols>
  <sheetData>
    <row r="2" spans="2:20" x14ac:dyDescent="0.25">
      <c r="B2" s="1" t="s">
        <v>0</v>
      </c>
      <c r="C2" s="1" t="s">
        <v>1</v>
      </c>
      <c r="D2" s="1" t="s">
        <v>2</v>
      </c>
      <c r="E2" s="2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10</v>
      </c>
      <c r="N2" s="3"/>
      <c r="O2" s="1" t="s">
        <v>11</v>
      </c>
      <c r="P2" s="4" t="s">
        <v>12</v>
      </c>
      <c r="Q2" s="4"/>
      <c r="R2" s="4"/>
      <c r="S2" s="4"/>
      <c r="T2" s="4"/>
    </row>
    <row r="3" spans="2:20" x14ac:dyDescent="0.25">
      <c r="B3" s="5">
        <v>1</v>
      </c>
      <c r="C3" s="3" t="s">
        <v>13</v>
      </c>
      <c r="D3" s="3" t="s">
        <v>14</v>
      </c>
      <c r="E3" s="3" t="s">
        <v>15</v>
      </c>
      <c r="F3" s="6" t="s">
        <v>4</v>
      </c>
      <c r="G3" s="7">
        <v>11</v>
      </c>
      <c r="H3" s="7"/>
      <c r="I3" s="3">
        <v>142.74</v>
      </c>
      <c r="J3" s="3">
        <v>169.86</v>
      </c>
      <c r="K3" s="3">
        <v>2</v>
      </c>
      <c r="L3" s="3">
        <f>I3*K3</f>
        <v>285.48</v>
      </c>
      <c r="M3" s="8">
        <f>J3*K3</f>
        <v>339.72</v>
      </c>
      <c r="N3" s="3"/>
      <c r="O3" s="7" t="s">
        <v>16</v>
      </c>
      <c r="P3" s="9" t="s">
        <v>17</v>
      </c>
      <c r="Q3" s="3"/>
      <c r="R3" s="3"/>
      <c r="S3" s="3"/>
      <c r="T3" s="3"/>
    </row>
    <row r="4" spans="2:20" x14ac:dyDescent="0.25">
      <c r="B4" s="5">
        <v>2</v>
      </c>
      <c r="C4" s="3" t="s">
        <v>18</v>
      </c>
      <c r="D4" s="3" t="s">
        <v>19</v>
      </c>
      <c r="E4" s="3" t="s">
        <v>20</v>
      </c>
      <c r="F4" s="6" t="s">
        <v>4</v>
      </c>
      <c r="G4" s="7">
        <v>3</v>
      </c>
      <c r="H4" s="7"/>
      <c r="I4" s="3">
        <v>29.28</v>
      </c>
      <c r="J4" s="3">
        <v>34.840000000000003</v>
      </c>
      <c r="K4" s="3">
        <v>4</v>
      </c>
      <c r="L4" s="3">
        <f>I4*K4</f>
        <v>117.12</v>
      </c>
      <c r="M4" s="3">
        <f>J4*K4</f>
        <v>139.36000000000001</v>
      </c>
      <c r="N4" s="3"/>
      <c r="O4" s="7" t="s">
        <v>16</v>
      </c>
      <c r="P4" s="10" t="s">
        <v>21</v>
      </c>
      <c r="Q4" s="3" t="s">
        <v>22</v>
      </c>
      <c r="R4" s="3" t="s">
        <v>23</v>
      </c>
      <c r="S4" s="3" t="s">
        <v>24</v>
      </c>
      <c r="T4" s="3"/>
    </row>
    <row r="5" spans="2:20" x14ac:dyDescent="0.25">
      <c r="B5" s="5">
        <v>3</v>
      </c>
      <c r="C5" s="3" t="s">
        <v>25</v>
      </c>
      <c r="D5" s="3" t="s">
        <v>26</v>
      </c>
      <c r="E5" s="3" t="s">
        <v>27</v>
      </c>
      <c r="F5" s="6" t="s">
        <v>4</v>
      </c>
      <c r="G5" s="7">
        <v>1</v>
      </c>
      <c r="H5" s="7"/>
      <c r="I5" s="3">
        <v>1.51</v>
      </c>
      <c r="J5" s="3">
        <v>1.8</v>
      </c>
      <c r="K5" s="3">
        <v>40</v>
      </c>
      <c r="L5" s="3">
        <f>I5*K5</f>
        <v>60.4</v>
      </c>
      <c r="M5" s="3">
        <f>J5*K5</f>
        <v>72</v>
      </c>
      <c r="N5" s="3"/>
      <c r="O5" s="7" t="s">
        <v>16</v>
      </c>
      <c r="P5" s="3" t="s">
        <v>28</v>
      </c>
      <c r="Q5" s="3" t="s">
        <v>29</v>
      </c>
      <c r="R5" s="3" t="s">
        <v>30</v>
      </c>
      <c r="S5" s="3"/>
      <c r="T5" s="3"/>
    </row>
    <row r="6" spans="2:20" x14ac:dyDescent="0.25">
      <c r="B6" s="5">
        <v>4</v>
      </c>
      <c r="C6" s="3" t="s">
        <v>31</v>
      </c>
      <c r="D6" s="3" t="s">
        <v>32</v>
      </c>
      <c r="E6" s="3" t="s">
        <v>33</v>
      </c>
      <c r="F6" s="6" t="s">
        <v>4</v>
      </c>
      <c r="G6" s="7">
        <v>8</v>
      </c>
      <c r="H6" s="7"/>
      <c r="I6" s="3">
        <v>0.06</v>
      </c>
      <c r="J6" s="3">
        <v>7.0000000000000007E-2</v>
      </c>
      <c r="K6" s="3">
        <v>100</v>
      </c>
      <c r="L6" s="11">
        <f>I6*K6</f>
        <v>6</v>
      </c>
      <c r="M6" s="3">
        <f>J6*K6</f>
        <v>7.0000000000000009</v>
      </c>
      <c r="N6" s="3"/>
      <c r="O6" s="7" t="s">
        <v>16</v>
      </c>
      <c r="P6" s="3" t="s">
        <v>34</v>
      </c>
      <c r="Q6" s="10" t="s">
        <v>35</v>
      </c>
      <c r="R6" s="3" t="s">
        <v>36</v>
      </c>
      <c r="S6" s="3" t="s">
        <v>37</v>
      </c>
      <c r="T6" s="3" t="s">
        <v>38</v>
      </c>
    </row>
    <row r="7" spans="2:20" x14ac:dyDescent="0.25">
      <c r="B7" s="5">
        <v>5</v>
      </c>
      <c r="C7" s="3" t="s">
        <v>39</v>
      </c>
      <c r="D7" s="3" t="s">
        <v>40</v>
      </c>
      <c r="E7" s="3" t="s">
        <v>41</v>
      </c>
      <c r="F7" s="6" t="s">
        <v>4</v>
      </c>
      <c r="G7" s="7">
        <v>1</v>
      </c>
      <c r="H7" s="7"/>
      <c r="I7" s="3">
        <v>36.4</v>
      </c>
      <c r="J7" s="3">
        <v>43.32</v>
      </c>
      <c r="K7" s="3">
        <v>1</v>
      </c>
      <c r="L7" s="11">
        <f>I7*K7</f>
        <v>36.4</v>
      </c>
      <c r="M7" s="3">
        <f>J7*K7</f>
        <v>43.32</v>
      </c>
      <c r="N7" s="3"/>
      <c r="O7" s="7" t="s">
        <v>16</v>
      </c>
      <c r="P7" s="3" t="s">
        <v>42</v>
      </c>
      <c r="Q7" s="3" t="s">
        <v>37</v>
      </c>
      <c r="R7" s="3" t="s">
        <v>43</v>
      </c>
      <c r="S7" s="3" t="s">
        <v>44</v>
      </c>
      <c r="T7" s="3"/>
    </row>
    <row r="8" spans="2:20" x14ac:dyDescent="0.25">
      <c r="B8" s="5">
        <v>6</v>
      </c>
      <c r="C8" s="3" t="s">
        <v>45</v>
      </c>
      <c r="D8" s="3" t="s">
        <v>46</v>
      </c>
      <c r="E8" s="3" t="s">
        <v>47</v>
      </c>
      <c r="F8" s="6" t="s">
        <v>4</v>
      </c>
      <c r="G8" s="7">
        <v>8</v>
      </c>
      <c r="H8" s="7"/>
      <c r="I8" s="3">
        <v>4.54</v>
      </c>
      <c r="J8" s="3">
        <v>5.4</v>
      </c>
      <c r="K8" s="3">
        <v>4</v>
      </c>
      <c r="L8" s="3">
        <f>I8*K8</f>
        <v>18.16</v>
      </c>
      <c r="M8" s="3">
        <f>J8*K8</f>
        <v>21.6</v>
      </c>
      <c r="N8" s="3"/>
      <c r="O8" s="7" t="s">
        <v>16</v>
      </c>
      <c r="P8" s="3" t="s">
        <v>48</v>
      </c>
      <c r="Q8" s="3"/>
      <c r="R8" s="3"/>
      <c r="S8" s="3"/>
      <c r="T8" s="3"/>
    </row>
    <row r="9" spans="2:20" x14ac:dyDescent="0.25">
      <c r="B9" s="5">
        <v>7</v>
      </c>
      <c r="C9" s="3" t="s">
        <v>49</v>
      </c>
      <c r="D9" s="3" t="s">
        <v>46</v>
      </c>
      <c r="E9" s="3" t="s">
        <v>50</v>
      </c>
      <c r="F9" s="6" t="s">
        <v>4</v>
      </c>
      <c r="G9" s="7">
        <v>1</v>
      </c>
      <c r="H9" s="7"/>
      <c r="I9" s="3">
        <v>1.83</v>
      </c>
      <c r="J9" s="3">
        <v>2.1800000000000002</v>
      </c>
      <c r="K9" s="3">
        <v>16</v>
      </c>
      <c r="L9" s="3">
        <f>I9*K9</f>
        <v>29.28</v>
      </c>
      <c r="M9" s="3">
        <f>J9*K9</f>
        <v>34.880000000000003</v>
      </c>
      <c r="N9" s="3"/>
      <c r="O9" s="7" t="s">
        <v>16</v>
      </c>
      <c r="P9" s="3" t="s">
        <v>51</v>
      </c>
      <c r="Q9" s="3" t="s">
        <v>52</v>
      </c>
      <c r="R9" s="3" t="s">
        <v>53</v>
      </c>
      <c r="S9" s="3" t="s">
        <v>54</v>
      </c>
      <c r="T9" s="3"/>
    </row>
    <row r="10" spans="2:20" x14ac:dyDescent="0.25">
      <c r="B10" s="5">
        <v>8</v>
      </c>
      <c r="C10" s="3" t="s">
        <v>55</v>
      </c>
      <c r="D10" s="3" t="s">
        <v>56</v>
      </c>
      <c r="E10" s="3" t="s">
        <v>57</v>
      </c>
      <c r="F10" s="6" t="s">
        <v>4</v>
      </c>
      <c r="G10" s="7">
        <v>10</v>
      </c>
      <c r="H10" s="7"/>
      <c r="I10" s="3">
        <v>32.5</v>
      </c>
      <c r="J10" s="3">
        <v>38.68</v>
      </c>
      <c r="K10" s="3">
        <v>3</v>
      </c>
      <c r="L10" s="11">
        <f>I10*K10</f>
        <v>97.5</v>
      </c>
      <c r="M10" s="3">
        <f>J10*K10</f>
        <v>116.03999999999999</v>
      </c>
      <c r="N10" s="3"/>
      <c r="O10" s="7" t="s">
        <v>16</v>
      </c>
      <c r="P10" s="3" t="s">
        <v>58</v>
      </c>
      <c r="Q10" s="3" t="s">
        <v>59</v>
      </c>
      <c r="R10" s="3"/>
      <c r="S10" s="3"/>
      <c r="T10" s="3"/>
    </row>
    <row r="11" spans="2:20" x14ac:dyDescent="0.25">
      <c r="B11" s="5">
        <v>9</v>
      </c>
      <c r="C11" s="3" t="s">
        <v>60</v>
      </c>
      <c r="D11" s="3" t="s">
        <v>61</v>
      </c>
      <c r="E11" s="3" t="s">
        <v>62</v>
      </c>
      <c r="F11" s="6" t="s">
        <v>4</v>
      </c>
      <c r="G11" s="7">
        <v>9</v>
      </c>
      <c r="H11" s="7"/>
      <c r="I11" s="3">
        <v>38.1</v>
      </c>
      <c r="J11" s="3">
        <v>45.34</v>
      </c>
      <c r="K11" s="3">
        <v>2</v>
      </c>
      <c r="L11" s="11">
        <f>I11*K11</f>
        <v>76.2</v>
      </c>
      <c r="M11" s="3">
        <f>J11*K11</f>
        <v>90.68</v>
      </c>
      <c r="N11" s="3"/>
      <c r="O11" s="7" t="s">
        <v>16</v>
      </c>
      <c r="P11" s="3" t="s">
        <v>63</v>
      </c>
      <c r="Q11" s="3" t="s">
        <v>64</v>
      </c>
      <c r="R11" s="3"/>
      <c r="S11" s="3"/>
      <c r="T11" s="3"/>
    </row>
    <row r="12" spans="2:20" x14ac:dyDescent="0.25">
      <c r="B12" s="5">
        <v>10</v>
      </c>
      <c r="C12" s="3" t="s">
        <v>65</v>
      </c>
      <c r="D12" s="3" t="s">
        <v>66</v>
      </c>
      <c r="E12" s="3" t="s">
        <v>67</v>
      </c>
      <c r="F12" s="6" t="s">
        <v>4</v>
      </c>
      <c r="G12" s="7">
        <v>3</v>
      </c>
      <c r="H12" s="7"/>
      <c r="I12" s="3">
        <v>21.6</v>
      </c>
      <c r="J12" s="3">
        <v>25.7</v>
      </c>
      <c r="K12" s="3">
        <v>2</v>
      </c>
      <c r="L12" s="11">
        <f>I12*K12</f>
        <v>43.2</v>
      </c>
      <c r="M12" s="3">
        <f>J12*K12</f>
        <v>51.4</v>
      </c>
      <c r="N12" s="3"/>
      <c r="O12" s="7" t="s">
        <v>16</v>
      </c>
      <c r="P12" s="3" t="s">
        <v>22</v>
      </c>
      <c r="Q12" s="3" t="s">
        <v>23</v>
      </c>
      <c r="R12" s="3" t="s">
        <v>68</v>
      </c>
      <c r="S12" s="3"/>
      <c r="T12" s="3"/>
    </row>
    <row r="13" spans="2:20" x14ac:dyDescent="0.25">
      <c r="B13" s="5">
        <v>11</v>
      </c>
      <c r="C13" s="3" t="s">
        <v>69</v>
      </c>
      <c r="D13" s="3" t="s">
        <v>70</v>
      </c>
      <c r="E13" s="3" t="s">
        <v>71</v>
      </c>
      <c r="F13" s="6" t="s">
        <v>4</v>
      </c>
      <c r="G13" s="7">
        <v>1</v>
      </c>
      <c r="H13" s="7"/>
      <c r="I13" s="3">
        <v>2.12</v>
      </c>
      <c r="J13" s="3">
        <v>2.52</v>
      </c>
      <c r="K13" s="3">
        <v>10</v>
      </c>
      <c r="L13" s="11">
        <f>I13*K13</f>
        <v>21.200000000000003</v>
      </c>
      <c r="M13" s="3">
        <f>J13*K13</f>
        <v>25.2</v>
      </c>
      <c r="N13" s="3"/>
      <c r="O13" s="7" t="s">
        <v>16</v>
      </c>
      <c r="P13" s="3" t="s">
        <v>51</v>
      </c>
      <c r="Q13" s="3" t="s">
        <v>72</v>
      </c>
      <c r="R13" s="3" t="s">
        <v>73</v>
      </c>
      <c r="S13" s="3" t="s">
        <v>54</v>
      </c>
      <c r="T13" s="3"/>
    </row>
    <row r="14" spans="2:20" x14ac:dyDescent="0.25">
      <c r="B14" s="5">
        <v>12</v>
      </c>
      <c r="C14" s="3" t="s">
        <v>31</v>
      </c>
      <c r="D14" s="3" t="s">
        <v>32</v>
      </c>
      <c r="E14" s="3" t="s">
        <v>74</v>
      </c>
      <c r="F14" s="6" t="s">
        <v>4</v>
      </c>
      <c r="G14" s="7">
        <v>8</v>
      </c>
      <c r="H14" s="7"/>
      <c r="I14" s="3">
        <v>0.08</v>
      </c>
      <c r="J14" s="3">
        <v>0.1</v>
      </c>
      <c r="K14" s="3">
        <v>100</v>
      </c>
      <c r="L14" s="3">
        <f>I14*K14</f>
        <v>8</v>
      </c>
      <c r="M14" s="3">
        <f>J14*K14</f>
        <v>10</v>
      </c>
      <c r="N14" s="3"/>
      <c r="O14" s="7" t="s">
        <v>16</v>
      </c>
      <c r="P14" s="3" t="s">
        <v>34</v>
      </c>
      <c r="Q14" s="12" t="s">
        <v>75</v>
      </c>
      <c r="R14" s="3" t="s">
        <v>76</v>
      </c>
      <c r="S14" s="3" t="s">
        <v>37</v>
      </c>
      <c r="T14" s="3" t="s">
        <v>38</v>
      </c>
    </row>
    <row r="15" spans="2:20" x14ac:dyDescent="0.25">
      <c r="B15" s="5">
        <v>13</v>
      </c>
      <c r="C15" s="3" t="s">
        <v>77</v>
      </c>
      <c r="D15" s="3" t="s">
        <v>40</v>
      </c>
      <c r="E15" s="3" t="s">
        <v>78</v>
      </c>
      <c r="F15" s="6" t="s">
        <v>4</v>
      </c>
      <c r="G15" s="7">
        <v>1</v>
      </c>
      <c r="H15" s="7"/>
      <c r="I15" s="3">
        <v>0.43</v>
      </c>
      <c r="J15" s="3">
        <v>0.51</v>
      </c>
      <c r="K15" s="3">
        <v>100</v>
      </c>
      <c r="L15" s="3">
        <f>I15*K15</f>
        <v>43</v>
      </c>
      <c r="M15" s="3">
        <f>J15*K15</f>
        <v>51</v>
      </c>
      <c r="N15" s="3"/>
      <c r="O15" s="7" t="s">
        <v>16</v>
      </c>
      <c r="P15" s="3" t="s">
        <v>79</v>
      </c>
      <c r="Q15" s="3" t="s">
        <v>37</v>
      </c>
      <c r="R15" s="3" t="s">
        <v>43</v>
      </c>
      <c r="S15" s="3" t="s">
        <v>80</v>
      </c>
      <c r="T15" s="3"/>
    </row>
    <row r="16" spans="2:20" x14ac:dyDescent="0.25">
      <c r="B16" s="5">
        <v>14</v>
      </c>
      <c r="C16" s="13" t="s">
        <v>81</v>
      </c>
      <c r="D16" s="3" t="s">
        <v>82</v>
      </c>
      <c r="E16" s="14"/>
      <c r="F16" s="15" t="s">
        <v>4</v>
      </c>
      <c r="G16" s="7"/>
      <c r="H16" s="7" t="s">
        <v>83</v>
      </c>
      <c r="I16" s="3"/>
      <c r="J16" s="3">
        <v>88.21</v>
      </c>
      <c r="K16" s="3">
        <v>3</v>
      </c>
      <c r="L16" s="3">
        <f>I16*K16</f>
        <v>0</v>
      </c>
      <c r="M16" s="3">
        <f>J16*K16</f>
        <v>264.63</v>
      </c>
      <c r="N16" s="3"/>
      <c r="O16" s="7" t="s">
        <v>84</v>
      </c>
      <c r="P16" s="3"/>
      <c r="Q16" s="3"/>
      <c r="R16" s="3"/>
      <c r="S16" s="3"/>
      <c r="T16" s="3"/>
    </row>
    <row r="17" spans="2:20" x14ac:dyDescent="0.25">
      <c r="B17" s="5">
        <v>15</v>
      </c>
      <c r="C17" s="13" t="s">
        <v>85</v>
      </c>
      <c r="D17" s="3" t="s">
        <v>86</v>
      </c>
      <c r="E17" s="3" t="s">
        <v>87</v>
      </c>
      <c r="F17" s="6" t="s">
        <v>4</v>
      </c>
      <c r="G17" s="7"/>
      <c r="H17" s="7" t="s">
        <v>83</v>
      </c>
      <c r="I17" s="3"/>
      <c r="J17" s="3">
        <v>15.99</v>
      </c>
      <c r="K17" s="3">
        <v>4</v>
      </c>
      <c r="L17" s="3">
        <f>I17*K17</f>
        <v>0</v>
      </c>
      <c r="M17" s="3">
        <f>J17*K17</f>
        <v>63.96</v>
      </c>
      <c r="N17" s="3"/>
      <c r="O17" s="7" t="s">
        <v>84</v>
      </c>
      <c r="P17" s="3"/>
      <c r="Q17" s="3"/>
      <c r="R17" s="3"/>
      <c r="S17" s="3"/>
      <c r="T17" s="3"/>
    </row>
    <row r="18" spans="2:20" x14ac:dyDescent="0.25">
      <c r="B18" s="5">
        <v>16</v>
      </c>
      <c r="C18" s="3" t="s">
        <v>88</v>
      </c>
      <c r="D18" s="3" t="s">
        <v>89</v>
      </c>
      <c r="E18" s="3" t="s">
        <v>90</v>
      </c>
      <c r="F18" s="6" t="s">
        <v>4</v>
      </c>
      <c r="G18" s="7"/>
      <c r="H18" s="7"/>
      <c r="I18" s="3">
        <v>10.71</v>
      </c>
      <c r="J18" s="3">
        <v>12.75</v>
      </c>
      <c r="K18" s="3">
        <v>6</v>
      </c>
      <c r="L18" s="3">
        <f>I18*K18</f>
        <v>64.260000000000005</v>
      </c>
      <c r="M18" s="3">
        <f>J18*K18</f>
        <v>76.5</v>
      </c>
      <c r="N18" s="3"/>
      <c r="O18" s="7" t="s">
        <v>91</v>
      </c>
      <c r="P18" s="3"/>
      <c r="Q18" s="3"/>
      <c r="R18" s="3"/>
      <c r="S18" s="3"/>
      <c r="T18" s="3"/>
    </row>
    <row r="19" spans="2:20" x14ac:dyDescent="0.25">
      <c r="B19" s="5">
        <v>17</v>
      </c>
      <c r="C19" s="3" t="s">
        <v>92</v>
      </c>
      <c r="D19" s="3" t="s">
        <v>93</v>
      </c>
      <c r="E19" s="3" t="s">
        <v>94</v>
      </c>
      <c r="F19" s="6" t="s">
        <v>4</v>
      </c>
      <c r="G19" s="7"/>
      <c r="H19" s="7"/>
      <c r="I19" s="3"/>
      <c r="J19" s="3">
        <v>8.5</v>
      </c>
      <c r="K19" s="3">
        <v>6</v>
      </c>
      <c r="L19" s="3">
        <f>I19*K19</f>
        <v>0</v>
      </c>
      <c r="M19" s="3">
        <f>J19*K19</f>
        <v>51</v>
      </c>
      <c r="N19" s="3"/>
      <c r="O19" s="7" t="s">
        <v>95</v>
      </c>
      <c r="P19" s="3"/>
      <c r="Q19" s="3"/>
      <c r="R19" s="3"/>
      <c r="S19" s="3"/>
      <c r="T19" s="3"/>
    </row>
    <row r="20" spans="2:20" x14ac:dyDescent="0.25">
      <c r="B20" s="5">
        <v>18</v>
      </c>
      <c r="C20" s="3" t="s">
        <v>96</v>
      </c>
      <c r="D20" s="3" t="s">
        <v>97</v>
      </c>
      <c r="E20" s="3" t="s">
        <v>98</v>
      </c>
      <c r="F20" s="6" t="s">
        <v>4</v>
      </c>
      <c r="G20" s="7">
        <v>8</v>
      </c>
      <c r="H20" s="7"/>
      <c r="I20" s="3">
        <v>14.69</v>
      </c>
      <c r="J20" s="3">
        <v>17.48</v>
      </c>
      <c r="K20" s="3">
        <v>1</v>
      </c>
      <c r="L20" s="3">
        <f>I20*K20</f>
        <v>14.69</v>
      </c>
      <c r="M20" s="3">
        <f>J20*K20</f>
        <v>17.48</v>
      </c>
      <c r="N20" s="3"/>
      <c r="O20" s="7" t="s">
        <v>16</v>
      </c>
      <c r="P20" s="3" t="s">
        <v>99</v>
      </c>
      <c r="Q20" s="3" t="s">
        <v>100</v>
      </c>
      <c r="R20" s="3" t="s">
        <v>101</v>
      </c>
      <c r="S20" s="10" t="s">
        <v>102</v>
      </c>
      <c r="T20" s="3" t="s">
        <v>103</v>
      </c>
    </row>
    <row r="21" spans="2:20" x14ac:dyDescent="0.25">
      <c r="B21" s="5">
        <v>19</v>
      </c>
      <c r="C21" s="3" t="s">
        <v>104</v>
      </c>
      <c r="D21" s="3" t="s">
        <v>105</v>
      </c>
      <c r="E21" s="14">
        <v>2903801</v>
      </c>
      <c r="F21" s="6" t="s">
        <v>4</v>
      </c>
      <c r="G21" s="7">
        <v>7</v>
      </c>
      <c r="H21" s="7"/>
      <c r="I21" s="3">
        <v>40.700000000000003</v>
      </c>
      <c r="J21" s="3">
        <v>48.43</v>
      </c>
      <c r="K21" s="3">
        <v>5</v>
      </c>
      <c r="L21" s="3">
        <f>I21*K21</f>
        <v>203.5</v>
      </c>
      <c r="M21" s="3">
        <f>J21*K21</f>
        <v>242.15</v>
      </c>
      <c r="N21" s="3"/>
      <c r="O21" s="7" t="s">
        <v>16</v>
      </c>
      <c r="P21" s="3" t="s">
        <v>106</v>
      </c>
      <c r="Q21" s="3"/>
      <c r="R21" s="3"/>
      <c r="S21" s="3"/>
      <c r="T21" s="3"/>
    </row>
    <row r="22" spans="2:20" x14ac:dyDescent="0.25">
      <c r="B22" s="5">
        <v>20</v>
      </c>
      <c r="C22" s="3" t="s">
        <v>107</v>
      </c>
      <c r="D22" s="3" t="s">
        <v>108</v>
      </c>
      <c r="E22" s="14">
        <v>2288927</v>
      </c>
      <c r="F22" s="6" t="s">
        <v>4</v>
      </c>
      <c r="G22" s="7">
        <v>7</v>
      </c>
      <c r="H22" s="7"/>
      <c r="I22" s="3">
        <v>32.9</v>
      </c>
      <c r="J22" s="3">
        <v>39.15</v>
      </c>
      <c r="K22" s="3">
        <v>6</v>
      </c>
      <c r="L22" s="3">
        <f>I22*K22</f>
        <v>197.39999999999998</v>
      </c>
      <c r="M22" s="3">
        <f>J22*K22</f>
        <v>234.89999999999998</v>
      </c>
      <c r="N22" s="3"/>
      <c r="O22" s="7" t="s">
        <v>16</v>
      </c>
      <c r="P22" s="3" t="s">
        <v>109</v>
      </c>
      <c r="Q22" s="3"/>
      <c r="R22" s="3"/>
      <c r="S22" s="3"/>
      <c r="T22" s="3"/>
    </row>
    <row r="23" spans="2:20" x14ac:dyDescent="0.25">
      <c r="B23" s="5">
        <v>21</v>
      </c>
      <c r="C23" s="16" t="s">
        <v>110</v>
      </c>
      <c r="D23" s="3"/>
      <c r="E23" s="14"/>
      <c r="F23" s="3"/>
      <c r="G23" s="7"/>
      <c r="H23" s="7" t="s">
        <v>111</v>
      </c>
      <c r="I23" s="3"/>
      <c r="J23" s="3"/>
      <c r="K23" s="3">
        <v>3</v>
      </c>
      <c r="L23" s="3">
        <f>I23*K23</f>
        <v>0</v>
      </c>
      <c r="M23" s="3">
        <f>J23*K23</f>
        <v>0</v>
      </c>
      <c r="N23" s="3"/>
      <c r="O23" s="7" t="s">
        <v>112</v>
      </c>
      <c r="P23" s="3"/>
      <c r="Q23" s="3"/>
      <c r="R23" s="3"/>
      <c r="S23" s="3"/>
      <c r="T23" s="3"/>
    </row>
    <row r="24" spans="2:20" x14ac:dyDescent="0.25">
      <c r="B24" s="5">
        <v>22</v>
      </c>
      <c r="C24" s="3" t="s">
        <v>113</v>
      </c>
      <c r="D24" s="3" t="s">
        <v>114</v>
      </c>
      <c r="E24" s="14" t="s">
        <v>115</v>
      </c>
      <c r="F24" s="6" t="s">
        <v>4</v>
      </c>
      <c r="G24" s="7">
        <v>3</v>
      </c>
      <c r="H24" s="7"/>
      <c r="I24" s="3">
        <v>38</v>
      </c>
      <c r="J24" s="3">
        <v>45.22</v>
      </c>
      <c r="K24" s="3">
        <v>1</v>
      </c>
      <c r="L24" s="3">
        <f>I24*K24</f>
        <v>38</v>
      </c>
      <c r="M24" s="3">
        <f>J24*K24</f>
        <v>45.22</v>
      </c>
      <c r="N24" s="3"/>
      <c r="O24" s="7" t="s">
        <v>16</v>
      </c>
      <c r="P24" s="3" t="s">
        <v>116</v>
      </c>
      <c r="Q24" s="3" t="s">
        <v>117</v>
      </c>
      <c r="R24" s="3" t="s">
        <v>118</v>
      </c>
      <c r="S24" s="3" t="s">
        <v>119</v>
      </c>
      <c r="T24" s="3"/>
    </row>
    <row r="25" spans="2:20" x14ac:dyDescent="0.25">
      <c r="B25" s="5">
        <v>23</v>
      </c>
      <c r="C25" s="3" t="s">
        <v>120</v>
      </c>
      <c r="D25" s="3" t="s">
        <v>121</v>
      </c>
      <c r="E25" s="3" t="s">
        <v>122</v>
      </c>
      <c r="F25" s="6" t="s">
        <v>4</v>
      </c>
      <c r="G25" s="7">
        <v>3</v>
      </c>
      <c r="H25" s="7"/>
      <c r="I25" s="3">
        <v>30.4</v>
      </c>
      <c r="J25" s="3">
        <v>36.18</v>
      </c>
      <c r="K25" s="3">
        <v>2</v>
      </c>
      <c r="L25" s="3">
        <f>I25*K25</f>
        <v>60.8</v>
      </c>
      <c r="M25" s="3">
        <f>J25*K25</f>
        <v>72.36</v>
      </c>
      <c r="N25" s="3"/>
      <c r="O25" s="7" t="s">
        <v>16</v>
      </c>
      <c r="P25" s="3" t="s">
        <v>123</v>
      </c>
      <c r="Q25" s="3" t="s">
        <v>124</v>
      </c>
      <c r="R25" s="3" t="s">
        <v>125</v>
      </c>
      <c r="S25" s="3" t="s">
        <v>126</v>
      </c>
      <c r="T25" s="3"/>
    </row>
    <row r="26" spans="2:20" x14ac:dyDescent="0.25">
      <c r="B26" s="5">
        <v>24</v>
      </c>
      <c r="C26" s="3" t="s">
        <v>127</v>
      </c>
      <c r="D26" t="s">
        <v>128</v>
      </c>
      <c r="E26" s="3" t="s">
        <v>129</v>
      </c>
      <c r="F26" s="6" t="s">
        <v>4</v>
      </c>
      <c r="G26" s="7">
        <v>3</v>
      </c>
      <c r="H26" s="7"/>
      <c r="I26" s="3">
        <v>5</v>
      </c>
      <c r="J26" s="3">
        <v>5.95</v>
      </c>
      <c r="K26" s="3">
        <v>2</v>
      </c>
      <c r="L26" s="3">
        <f>I26*K26</f>
        <v>10</v>
      </c>
      <c r="M26" s="3">
        <f>J26*K26</f>
        <v>11.9</v>
      </c>
      <c r="N26" s="3"/>
      <c r="O26" s="7" t="s">
        <v>16</v>
      </c>
      <c r="P26" s="3" t="s">
        <v>130</v>
      </c>
      <c r="Q26" s="3"/>
      <c r="R26" s="3"/>
      <c r="S26" s="3"/>
      <c r="T26" s="3"/>
    </row>
    <row r="27" spans="2:20" x14ac:dyDescent="0.25">
      <c r="B27" s="5">
        <v>25</v>
      </c>
      <c r="C27" s="3" t="s">
        <v>131</v>
      </c>
      <c r="D27" s="3" t="s">
        <v>132</v>
      </c>
      <c r="E27" s="3" t="s">
        <v>133</v>
      </c>
      <c r="F27" s="6" t="s">
        <v>4</v>
      </c>
      <c r="G27" s="7">
        <v>3</v>
      </c>
      <c r="H27" s="7"/>
      <c r="I27" s="3">
        <v>14.8</v>
      </c>
      <c r="J27" s="3">
        <v>17.61</v>
      </c>
      <c r="K27" s="3">
        <v>8</v>
      </c>
      <c r="L27" s="3">
        <f>I27*K27</f>
        <v>118.4</v>
      </c>
      <c r="M27" s="3">
        <f>J27*K27</f>
        <v>140.88</v>
      </c>
      <c r="N27" s="3"/>
      <c r="O27" s="7" t="s">
        <v>16</v>
      </c>
      <c r="P27" s="3" t="s">
        <v>134</v>
      </c>
      <c r="Q27" s="3" t="s">
        <v>135</v>
      </c>
      <c r="R27" s="3" t="s">
        <v>136</v>
      </c>
      <c r="S27" s="3"/>
      <c r="T27" s="3"/>
    </row>
    <row r="28" spans="2:20" x14ac:dyDescent="0.25">
      <c r="B28" s="5">
        <v>26</v>
      </c>
      <c r="C28" s="3" t="s">
        <v>137</v>
      </c>
      <c r="D28" s="3" t="s">
        <v>138</v>
      </c>
      <c r="E28" s="3" t="s">
        <v>139</v>
      </c>
      <c r="F28" s="6" t="s">
        <v>4</v>
      </c>
      <c r="G28" s="7">
        <v>3</v>
      </c>
      <c r="H28" s="7"/>
      <c r="I28" s="3">
        <v>2.1</v>
      </c>
      <c r="J28" s="3">
        <v>2.5</v>
      </c>
      <c r="K28" s="3">
        <v>30</v>
      </c>
      <c r="L28" s="3">
        <f>I28*K28</f>
        <v>63</v>
      </c>
      <c r="M28" s="3">
        <f>J28*K28</f>
        <v>75</v>
      </c>
      <c r="N28" s="3"/>
      <c r="O28" s="7" t="s">
        <v>16</v>
      </c>
      <c r="P28" s="3" t="s">
        <v>140</v>
      </c>
      <c r="Q28" s="3" t="s">
        <v>141</v>
      </c>
      <c r="R28" s="3" t="s">
        <v>142</v>
      </c>
      <c r="S28" s="3"/>
      <c r="T28" s="3"/>
    </row>
    <row r="29" spans="2:20" x14ac:dyDescent="0.25">
      <c r="B29" s="5">
        <v>27</v>
      </c>
      <c r="C29" s="3" t="s">
        <v>143</v>
      </c>
      <c r="D29" s="3" t="s">
        <v>144</v>
      </c>
      <c r="E29" s="3" t="s">
        <v>145</v>
      </c>
      <c r="F29" s="6" t="s">
        <v>4</v>
      </c>
      <c r="G29" s="7">
        <v>3</v>
      </c>
      <c r="H29" s="7"/>
      <c r="I29" s="3">
        <v>2.2999999999999998</v>
      </c>
      <c r="J29" s="3">
        <v>2.74</v>
      </c>
      <c r="K29" s="3">
        <v>14</v>
      </c>
      <c r="L29" s="3">
        <f>I29*K29</f>
        <v>32.199999999999996</v>
      </c>
      <c r="M29" s="3">
        <f>J29*K29</f>
        <v>38.36</v>
      </c>
      <c r="N29" s="3"/>
      <c r="O29" s="7" t="s">
        <v>16</v>
      </c>
      <c r="P29" s="3" t="s">
        <v>118</v>
      </c>
      <c r="Q29" s="3" t="s">
        <v>146</v>
      </c>
      <c r="R29" s="3" t="s">
        <v>147</v>
      </c>
      <c r="S29" s="3"/>
      <c r="T29" s="3"/>
    </row>
    <row r="30" spans="2:20" x14ac:dyDescent="0.25">
      <c r="B30" s="5">
        <v>28</v>
      </c>
      <c r="C30" s="3" t="s">
        <v>148</v>
      </c>
      <c r="D30" s="3" t="s">
        <v>149</v>
      </c>
      <c r="E30" s="3" t="s">
        <v>150</v>
      </c>
      <c r="F30" s="6" t="s">
        <v>4</v>
      </c>
      <c r="G30" s="7">
        <v>3</v>
      </c>
      <c r="H30" s="7"/>
      <c r="I30" s="3">
        <v>0.7</v>
      </c>
      <c r="J30" s="3">
        <v>0.83</v>
      </c>
      <c r="K30" s="3">
        <v>50</v>
      </c>
      <c r="L30" s="3">
        <f>I30*K30</f>
        <v>35</v>
      </c>
      <c r="M30" s="3">
        <f>J30*K30</f>
        <v>41.5</v>
      </c>
      <c r="N30" s="3"/>
      <c r="O30" s="7" t="s">
        <v>16</v>
      </c>
      <c r="P30" s="3" t="s">
        <v>151</v>
      </c>
      <c r="Q30" s="3" t="s">
        <v>152</v>
      </c>
      <c r="R30" s="3" t="s">
        <v>153</v>
      </c>
      <c r="S30" s="3"/>
      <c r="T30" s="3"/>
    </row>
    <row r="31" spans="2:20" x14ac:dyDescent="0.25">
      <c r="B31" s="5">
        <v>29</v>
      </c>
      <c r="C31" s="3" t="s">
        <v>154</v>
      </c>
      <c r="D31" s="3" t="s">
        <v>155</v>
      </c>
      <c r="E31" s="3" t="s">
        <v>156</v>
      </c>
      <c r="F31" s="6" t="s">
        <v>4</v>
      </c>
      <c r="G31" s="7"/>
      <c r="H31" s="7"/>
      <c r="I31" s="3"/>
      <c r="J31" s="3">
        <v>11.25</v>
      </c>
      <c r="K31" s="3">
        <v>1</v>
      </c>
      <c r="L31" s="3"/>
      <c r="M31" s="3">
        <f>J31*K31</f>
        <v>11.25</v>
      </c>
      <c r="N31" s="3"/>
      <c r="O31" s="7" t="s">
        <v>157</v>
      </c>
      <c r="P31" s="3"/>
      <c r="Q31" s="3"/>
      <c r="R31" s="3"/>
      <c r="S31" s="3"/>
      <c r="T31" s="3"/>
    </row>
    <row r="32" spans="2:20" x14ac:dyDescent="0.25">
      <c r="B32" s="5">
        <v>30</v>
      </c>
      <c r="C32" s="3" t="s">
        <v>158</v>
      </c>
      <c r="D32" s="3" t="s">
        <v>159</v>
      </c>
      <c r="E32" s="3" t="s">
        <v>160</v>
      </c>
      <c r="F32" s="6" t="s">
        <v>4</v>
      </c>
      <c r="G32" s="7"/>
      <c r="H32" s="7"/>
      <c r="I32" s="3">
        <v>14.29</v>
      </c>
      <c r="J32" s="3">
        <v>17</v>
      </c>
      <c r="K32" s="3">
        <v>1</v>
      </c>
      <c r="L32" s="3">
        <f>I32*K32</f>
        <v>14.29</v>
      </c>
      <c r="M32" s="3">
        <f>J32*K32</f>
        <v>17</v>
      </c>
      <c r="N32" s="3"/>
      <c r="O32" s="7" t="s">
        <v>91</v>
      </c>
      <c r="P32" s="3"/>
      <c r="Q32" s="3"/>
      <c r="R32" s="3"/>
      <c r="S32" s="3"/>
      <c r="T32" s="3"/>
    </row>
    <row r="33" spans="2:20" x14ac:dyDescent="0.25">
      <c r="B33" s="5">
        <v>31</v>
      </c>
      <c r="C33" s="3" t="s">
        <v>161</v>
      </c>
      <c r="D33" s="3" t="s">
        <v>162</v>
      </c>
      <c r="E33" s="3" t="s">
        <v>163</v>
      </c>
      <c r="F33" s="6" t="s">
        <v>4</v>
      </c>
      <c r="G33" s="7">
        <v>4</v>
      </c>
      <c r="H33" s="7"/>
      <c r="I33" s="3">
        <v>92</v>
      </c>
      <c r="J33" s="3">
        <v>109.48</v>
      </c>
      <c r="K33" s="3">
        <v>1</v>
      </c>
      <c r="L33" s="3">
        <f>I33*K33</f>
        <v>92</v>
      </c>
      <c r="M33" s="3">
        <f>J33*K33</f>
        <v>109.48</v>
      </c>
      <c r="N33" s="3"/>
      <c r="O33" s="7" t="s">
        <v>16</v>
      </c>
      <c r="P33" s="3" t="s">
        <v>164</v>
      </c>
      <c r="Q33" s="3" t="s">
        <v>125</v>
      </c>
      <c r="R33" s="3" t="s">
        <v>165</v>
      </c>
      <c r="S33" s="3" t="s">
        <v>166</v>
      </c>
      <c r="T33" s="3" t="s">
        <v>167</v>
      </c>
    </row>
    <row r="34" spans="2:20" x14ac:dyDescent="0.25">
      <c r="B34" s="5">
        <v>32</v>
      </c>
      <c r="C34" s="3" t="s">
        <v>168</v>
      </c>
      <c r="D34" s="3" t="s">
        <v>114</v>
      </c>
      <c r="E34" s="3" t="s">
        <v>169</v>
      </c>
      <c r="F34" s="6" t="s">
        <v>4</v>
      </c>
      <c r="G34" s="7">
        <v>13</v>
      </c>
      <c r="H34" s="7"/>
      <c r="I34" s="3">
        <v>68.61</v>
      </c>
      <c r="J34" s="3">
        <v>81.650000000000006</v>
      </c>
      <c r="K34" s="3">
        <v>2</v>
      </c>
      <c r="L34" s="3">
        <f>I34*K34</f>
        <v>137.22</v>
      </c>
      <c r="M34" s="3">
        <f>J34*K34</f>
        <v>163.30000000000001</v>
      </c>
      <c r="N34" s="3"/>
      <c r="O34" s="7" t="s">
        <v>170</v>
      </c>
      <c r="P34" s="3"/>
      <c r="Q34" s="3"/>
      <c r="R34" s="3"/>
      <c r="S34" s="3"/>
      <c r="T34" s="3"/>
    </row>
    <row r="35" spans="2:20" x14ac:dyDescent="0.25">
      <c r="B35" s="5">
        <v>33</v>
      </c>
      <c r="C35" s="3" t="s">
        <v>171</v>
      </c>
      <c r="D35" s="3" t="s">
        <v>172</v>
      </c>
      <c r="E35" s="3" t="s">
        <v>173</v>
      </c>
      <c r="F35" s="6" t="s">
        <v>4</v>
      </c>
      <c r="G35" s="7"/>
      <c r="H35" s="7"/>
      <c r="I35" s="3"/>
      <c r="J35" s="3">
        <v>49.72</v>
      </c>
      <c r="K35" s="3">
        <v>3</v>
      </c>
      <c r="L35" s="3"/>
      <c r="M35" s="3">
        <f>J35*K35</f>
        <v>149.16</v>
      </c>
      <c r="N35" s="3"/>
      <c r="O35" s="7" t="s">
        <v>174</v>
      </c>
      <c r="P35" s="3"/>
      <c r="Q35" s="3"/>
      <c r="R35" s="3"/>
      <c r="S35" s="3"/>
      <c r="T35" s="3"/>
    </row>
    <row r="36" spans="2:20" x14ac:dyDescent="0.25">
      <c r="B36" s="5">
        <v>34</v>
      </c>
      <c r="C36" s="3" t="s">
        <v>175</v>
      </c>
      <c r="D36" s="3" t="s">
        <v>176</v>
      </c>
      <c r="E36" s="3" t="s">
        <v>177</v>
      </c>
      <c r="F36" s="6" t="s">
        <v>4</v>
      </c>
      <c r="G36" s="7">
        <v>4</v>
      </c>
      <c r="H36" s="7"/>
      <c r="I36" s="3">
        <v>63.6</v>
      </c>
      <c r="J36" s="3">
        <v>75.680000000000007</v>
      </c>
      <c r="K36" s="3">
        <v>1</v>
      </c>
      <c r="L36" s="3">
        <f>I36*K36</f>
        <v>63.6</v>
      </c>
      <c r="M36" s="3">
        <f>J36*K36</f>
        <v>75.680000000000007</v>
      </c>
      <c r="N36" s="3"/>
      <c r="O36" s="7" t="s">
        <v>16</v>
      </c>
      <c r="P36" s="3"/>
      <c r="Q36" s="3"/>
      <c r="R36" s="3"/>
      <c r="S36" s="3"/>
      <c r="T36" s="3"/>
    </row>
    <row r="37" spans="2:20" x14ac:dyDescent="0.25">
      <c r="B37" s="5">
        <v>35</v>
      </c>
      <c r="C37" s="3" t="s">
        <v>178</v>
      </c>
      <c r="D37" s="3" t="s">
        <v>179</v>
      </c>
      <c r="E37" s="3" t="s">
        <v>180</v>
      </c>
      <c r="F37" s="6" t="s">
        <v>4</v>
      </c>
      <c r="G37" s="7"/>
      <c r="H37" s="7"/>
      <c r="I37" s="3"/>
      <c r="J37" s="3">
        <v>67.78</v>
      </c>
      <c r="K37" s="3">
        <v>1</v>
      </c>
      <c r="L37" s="3"/>
      <c r="M37" s="3">
        <f>J37*K37</f>
        <v>67.78</v>
      </c>
      <c r="N37" s="3"/>
      <c r="O37" s="7" t="s">
        <v>174</v>
      </c>
      <c r="P37" s="3"/>
      <c r="Q37" s="3"/>
      <c r="R37" s="3"/>
      <c r="S37" s="3"/>
      <c r="T37" s="3"/>
    </row>
    <row r="38" spans="2:20" x14ac:dyDescent="0.25">
      <c r="B38" s="5">
        <v>36</v>
      </c>
      <c r="C38" s="3" t="s">
        <v>181</v>
      </c>
      <c r="D38" s="3" t="s">
        <v>182</v>
      </c>
      <c r="E38" s="3" t="s">
        <v>183</v>
      </c>
      <c r="F38" s="6" t="s">
        <v>4</v>
      </c>
      <c r="G38" s="7"/>
      <c r="H38" s="7"/>
      <c r="I38" s="3"/>
      <c r="J38" s="3">
        <v>82.35</v>
      </c>
      <c r="K38" s="3">
        <v>1</v>
      </c>
      <c r="L38" s="3"/>
      <c r="M38" s="3">
        <f>J38*K38</f>
        <v>82.35</v>
      </c>
      <c r="N38" s="3"/>
      <c r="O38" s="7" t="s">
        <v>174</v>
      </c>
      <c r="P38" s="3"/>
      <c r="Q38" s="3"/>
      <c r="R38" s="3"/>
      <c r="S38" s="3"/>
      <c r="T38" s="3"/>
    </row>
    <row r="39" spans="2:20" x14ac:dyDescent="0.25">
      <c r="B39" s="5">
        <v>37</v>
      </c>
      <c r="C39" s="3" t="s">
        <v>184</v>
      </c>
      <c r="D39" s="3" t="s">
        <v>185</v>
      </c>
      <c r="E39" s="3" t="s">
        <v>186</v>
      </c>
      <c r="F39" s="6" t="s">
        <v>4</v>
      </c>
      <c r="G39" s="7"/>
      <c r="H39" s="7"/>
      <c r="I39" s="3"/>
      <c r="J39" s="3">
        <v>33.33</v>
      </c>
      <c r="K39" s="3">
        <v>1</v>
      </c>
      <c r="L39" s="3"/>
      <c r="M39" s="3">
        <f>J39*K39</f>
        <v>33.33</v>
      </c>
      <c r="N39" s="3"/>
      <c r="O39" s="7" t="s">
        <v>174</v>
      </c>
      <c r="P39" s="3"/>
      <c r="Q39" s="3"/>
      <c r="R39" s="3"/>
      <c r="S39" s="3"/>
      <c r="T39" s="3"/>
    </row>
    <row r="40" spans="2:20" x14ac:dyDescent="0.25">
      <c r="B40" s="5">
        <v>38</v>
      </c>
      <c r="C40" s="3" t="s">
        <v>187</v>
      </c>
      <c r="D40" s="3" t="s">
        <v>188</v>
      </c>
      <c r="E40" s="3" t="s">
        <v>189</v>
      </c>
      <c r="F40" s="6" t="s">
        <v>4</v>
      </c>
      <c r="G40" s="7"/>
      <c r="H40" s="7"/>
      <c r="I40" s="3"/>
      <c r="J40" s="3">
        <v>62.86</v>
      </c>
      <c r="K40" s="3">
        <v>1</v>
      </c>
      <c r="L40" s="3"/>
      <c r="M40" s="3">
        <f>J40*K40</f>
        <v>62.86</v>
      </c>
      <c r="N40" s="3"/>
      <c r="O40" s="7" t="s">
        <v>174</v>
      </c>
      <c r="P40" s="3"/>
      <c r="Q40" s="3"/>
      <c r="R40" s="3"/>
      <c r="S40" s="3"/>
      <c r="T40" s="3"/>
    </row>
    <row r="41" spans="2:20" x14ac:dyDescent="0.25">
      <c r="B41" s="5">
        <v>39</v>
      </c>
      <c r="C41" s="3" t="s">
        <v>190</v>
      </c>
      <c r="D41" s="3" t="s">
        <v>191</v>
      </c>
      <c r="E41" s="3" t="s">
        <v>192</v>
      </c>
      <c r="F41" s="6" t="s">
        <v>4</v>
      </c>
      <c r="G41" s="7"/>
      <c r="H41" s="7"/>
      <c r="I41" s="3"/>
      <c r="J41" s="3">
        <v>28.54</v>
      </c>
      <c r="K41" s="3">
        <v>1</v>
      </c>
      <c r="L41" s="3"/>
      <c r="M41" s="3">
        <f>J41*K41</f>
        <v>28.54</v>
      </c>
      <c r="N41" s="3"/>
      <c r="O41" s="7" t="s">
        <v>174</v>
      </c>
      <c r="P41" s="3"/>
      <c r="Q41" s="3"/>
      <c r="R41" s="3"/>
      <c r="S41" s="3"/>
      <c r="T41" s="3"/>
    </row>
    <row r="42" spans="2:20" x14ac:dyDescent="0.25">
      <c r="B42" s="5">
        <v>40</v>
      </c>
      <c r="C42" s="3" t="s">
        <v>193</v>
      </c>
      <c r="D42" s="3" t="s">
        <v>194</v>
      </c>
      <c r="E42" s="3" t="s">
        <v>195</v>
      </c>
      <c r="F42" s="6" t="s">
        <v>4</v>
      </c>
      <c r="G42" s="7"/>
      <c r="H42" s="7"/>
      <c r="I42" s="3"/>
      <c r="J42" s="3">
        <v>4.22</v>
      </c>
      <c r="K42" s="3">
        <v>2</v>
      </c>
      <c r="L42" s="3"/>
      <c r="M42" s="3">
        <f>J42*K42</f>
        <v>8.44</v>
      </c>
      <c r="N42" s="3"/>
      <c r="O42" s="7" t="s">
        <v>174</v>
      </c>
      <c r="P42" s="3"/>
      <c r="Q42" s="3"/>
      <c r="R42" s="3"/>
      <c r="S42" s="3"/>
      <c r="T42" s="3"/>
    </row>
    <row r="43" spans="2:20" x14ac:dyDescent="0.25">
      <c r="B43" s="5">
        <v>41</v>
      </c>
      <c r="C43" s="3" t="s">
        <v>196</v>
      </c>
      <c r="D43" s="3" t="s">
        <v>197</v>
      </c>
      <c r="E43" s="3" t="s">
        <v>198</v>
      </c>
      <c r="F43" s="6" t="s">
        <v>4</v>
      </c>
      <c r="G43" s="7"/>
      <c r="H43" s="7"/>
      <c r="I43" s="3"/>
      <c r="J43" s="3">
        <v>2.58</v>
      </c>
      <c r="K43" s="3">
        <v>4</v>
      </c>
      <c r="L43" s="3"/>
      <c r="M43" s="3">
        <f>J43*K43</f>
        <v>10.32</v>
      </c>
      <c r="N43" s="3"/>
      <c r="O43" s="7" t="s">
        <v>174</v>
      </c>
      <c r="P43" s="3"/>
      <c r="Q43" s="3"/>
      <c r="R43" s="3"/>
      <c r="S43" s="3"/>
      <c r="T43" s="3"/>
    </row>
    <row r="44" spans="2:20" x14ac:dyDescent="0.25">
      <c r="B44" s="5">
        <v>42</v>
      </c>
      <c r="C44" s="3" t="s">
        <v>148</v>
      </c>
      <c r="D44" s="3" t="s">
        <v>199</v>
      </c>
      <c r="E44" s="3" t="s">
        <v>200</v>
      </c>
      <c r="F44" s="6" t="s">
        <v>4</v>
      </c>
      <c r="G44" s="7"/>
      <c r="H44" s="7"/>
      <c r="I44" s="3">
        <v>0.7</v>
      </c>
      <c r="J44" s="3">
        <v>0.83</v>
      </c>
      <c r="K44" s="3">
        <v>50</v>
      </c>
      <c r="L44" s="3">
        <f>I44*K44</f>
        <v>35</v>
      </c>
      <c r="M44" s="3">
        <f>J44*K44</f>
        <v>41.5</v>
      </c>
      <c r="N44" s="3"/>
      <c r="O44" s="7" t="s">
        <v>16</v>
      </c>
      <c r="P44" s="3"/>
      <c r="Q44" s="3"/>
      <c r="R44" s="3"/>
      <c r="S44" s="3"/>
      <c r="T44" s="3"/>
    </row>
    <row r="45" spans="2:20" x14ac:dyDescent="0.25">
      <c r="B45" s="5">
        <v>43</v>
      </c>
      <c r="C45" s="3" t="s">
        <v>148</v>
      </c>
      <c r="D45" s="3" t="s">
        <v>201</v>
      </c>
      <c r="E45" s="3" t="s">
        <v>202</v>
      </c>
      <c r="F45" s="6" t="s">
        <v>4</v>
      </c>
      <c r="G45" s="7"/>
      <c r="H45" s="7"/>
      <c r="I45" s="3">
        <v>0.7</v>
      </c>
      <c r="J45" s="3">
        <v>0.83</v>
      </c>
      <c r="K45" s="3">
        <v>50</v>
      </c>
      <c r="L45" s="3">
        <f>I45*K45</f>
        <v>35</v>
      </c>
      <c r="M45" s="3">
        <f>J45*K45</f>
        <v>41.5</v>
      </c>
      <c r="N45" s="3"/>
      <c r="O45" s="7" t="s">
        <v>16</v>
      </c>
      <c r="P45" s="3"/>
      <c r="Q45" s="3"/>
      <c r="R45" s="3"/>
      <c r="S45" s="3"/>
      <c r="T45" s="3"/>
    </row>
    <row r="46" spans="2:20" x14ac:dyDescent="0.25">
      <c r="B46" s="5">
        <v>44</v>
      </c>
      <c r="C46" s="3" t="s">
        <v>203</v>
      </c>
      <c r="D46" s="3" t="s">
        <v>204</v>
      </c>
      <c r="E46" s="3" t="s">
        <v>205</v>
      </c>
      <c r="F46" s="6" t="s">
        <v>4</v>
      </c>
      <c r="G46" s="7"/>
      <c r="H46" s="7"/>
      <c r="I46" s="3">
        <v>84.1</v>
      </c>
      <c r="J46" s="3">
        <v>100.08</v>
      </c>
      <c r="K46" s="3">
        <v>1</v>
      </c>
      <c r="L46" s="3">
        <f>I46*K46</f>
        <v>84.1</v>
      </c>
      <c r="M46" s="3">
        <f>J46*K46</f>
        <v>100.08</v>
      </c>
      <c r="N46" s="3"/>
      <c r="O46" s="7" t="s">
        <v>16</v>
      </c>
      <c r="P46" s="3"/>
      <c r="Q46" s="3"/>
      <c r="R46" s="3"/>
      <c r="S46" s="3"/>
      <c r="T46" s="3"/>
    </row>
    <row r="47" spans="2:20" x14ac:dyDescent="0.25">
      <c r="B47" s="5">
        <v>45</v>
      </c>
      <c r="C47" s="3" t="s">
        <v>206</v>
      </c>
      <c r="D47" s="3" t="s">
        <v>207</v>
      </c>
      <c r="E47" s="3" t="s">
        <v>208</v>
      </c>
      <c r="F47" s="6" t="s">
        <v>4</v>
      </c>
      <c r="G47" s="7"/>
      <c r="H47" s="7"/>
      <c r="I47" s="3">
        <v>6.5</v>
      </c>
      <c r="J47" s="3">
        <v>7.74</v>
      </c>
      <c r="K47" s="3">
        <v>3</v>
      </c>
      <c r="L47" s="3">
        <f>I47*K47</f>
        <v>19.5</v>
      </c>
      <c r="M47" s="3">
        <f>J47*K47</f>
        <v>23.22</v>
      </c>
      <c r="N47" s="3"/>
      <c r="O47" s="7" t="s">
        <v>16</v>
      </c>
      <c r="P47" s="3"/>
      <c r="Q47" s="3"/>
      <c r="R47" s="3"/>
      <c r="S47" s="3"/>
      <c r="T47" s="3"/>
    </row>
    <row r="48" spans="2:20" x14ac:dyDescent="0.25">
      <c r="B48" s="5">
        <v>46</v>
      </c>
      <c r="C48" s="3" t="s">
        <v>209</v>
      </c>
      <c r="D48" s="3" t="s">
        <v>210</v>
      </c>
      <c r="E48" s="3" t="s">
        <v>211</v>
      </c>
      <c r="F48" s="6" t="s">
        <v>4</v>
      </c>
      <c r="G48" s="7"/>
      <c r="H48" s="7"/>
      <c r="I48" s="3">
        <v>67.86</v>
      </c>
      <c r="J48" s="3">
        <v>80.75</v>
      </c>
      <c r="K48" s="3">
        <v>1</v>
      </c>
      <c r="L48" s="3">
        <f>I48*K48</f>
        <v>67.86</v>
      </c>
      <c r="M48" s="3">
        <f>J48*K48</f>
        <v>80.75</v>
      </c>
      <c r="N48" s="3"/>
      <c r="O48" s="7" t="s">
        <v>91</v>
      </c>
      <c r="P48" s="3"/>
      <c r="Q48" s="3"/>
      <c r="R48" s="3"/>
      <c r="S48" s="3"/>
      <c r="T48" s="3"/>
    </row>
    <row r="49" spans="2:20" x14ac:dyDescent="0.25">
      <c r="B49" s="5">
        <v>47</v>
      </c>
      <c r="C49" s="3" t="s">
        <v>212</v>
      </c>
      <c r="D49" s="3" t="s">
        <v>213</v>
      </c>
      <c r="E49" s="3" t="s">
        <v>214</v>
      </c>
      <c r="F49" s="6" t="s">
        <v>4</v>
      </c>
      <c r="G49" s="7"/>
      <c r="H49" s="7"/>
      <c r="I49" s="3">
        <v>125</v>
      </c>
      <c r="J49" s="3">
        <v>148.75</v>
      </c>
      <c r="K49" s="3">
        <v>1</v>
      </c>
      <c r="L49" s="3">
        <f>I49*K49</f>
        <v>125</v>
      </c>
      <c r="M49" s="3">
        <f>J49*K49</f>
        <v>148.75</v>
      </c>
      <c r="N49" s="3"/>
      <c r="O49" s="7" t="s">
        <v>91</v>
      </c>
      <c r="P49" s="3"/>
      <c r="Q49" s="3"/>
      <c r="R49" s="3"/>
      <c r="S49" s="3"/>
      <c r="T49" s="3"/>
    </row>
    <row r="50" spans="2:20" x14ac:dyDescent="0.25">
      <c r="B50" s="5">
        <v>48</v>
      </c>
      <c r="C50" s="3" t="s">
        <v>215</v>
      </c>
      <c r="D50" s="3" t="s">
        <v>216</v>
      </c>
      <c r="E50" s="3" t="s">
        <v>217</v>
      </c>
      <c r="F50" s="6" t="s">
        <v>4</v>
      </c>
      <c r="G50" s="7"/>
      <c r="H50" s="7"/>
      <c r="I50" s="3">
        <v>25</v>
      </c>
      <c r="J50" s="3">
        <v>29.75</v>
      </c>
      <c r="K50" s="3">
        <v>1</v>
      </c>
      <c r="L50" s="3">
        <f>I50*K50</f>
        <v>25</v>
      </c>
      <c r="M50" s="3">
        <f>J50*K50</f>
        <v>29.75</v>
      </c>
      <c r="N50" s="3"/>
      <c r="O50" s="7" t="s">
        <v>91</v>
      </c>
      <c r="P50" s="3"/>
      <c r="Q50" s="3"/>
      <c r="R50" s="3"/>
      <c r="S50" s="3"/>
      <c r="T50" s="3"/>
    </row>
    <row r="51" spans="2:20" x14ac:dyDescent="0.25">
      <c r="B51" s="5">
        <v>49</v>
      </c>
      <c r="C51" s="3" t="s">
        <v>218</v>
      </c>
      <c r="D51" s="3" t="s">
        <v>219</v>
      </c>
      <c r="E51" s="3" t="s">
        <v>220</v>
      </c>
      <c r="F51" s="6" t="s">
        <v>4</v>
      </c>
      <c r="G51" s="7"/>
      <c r="H51" s="7"/>
      <c r="I51" s="3">
        <v>17.86</v>
      </c>
      <c r="J51" s="3">
        <v>21.25</v>
      </c>
      <c r="K51" s="3">
        <v>1</v>
      </c>
      <c r="L51" s="3">
        <f>I51*K51</f>
        <v>17.86</v>
      </c>
      <c r="M51" s="3">
        <f>J51*K51</f>
        <v>21.25</v>
      </c>
      <c r="N51" s="3"/>
      <c r="O51" s="7" t="s">
        <v>91</v>
      </c>
      <c r="P51" s="3"/>
      <c r="Q51" s="3"/>
      <c r="R51" s="3"/>
      <c r="S51" s="3"/>
      <c r="T51" s="3"/>
    </row>
    <row r="52" spans="2:20" x14ac:dyDescent="0.25">
      <c r="B52" s="5">
        <v>50</v>
      </c>
      <c r="C52" s="3" t="s">
        <v>221</v>
      </c>
      <c r="D52" s="3" t="s">
        <v>222</v>
      </c>
      <c r="E52" s="3" t="s">
        <v>223</v>
      </c>
      <c r="F52" s="6" t="s">
        <v>4</v>
      </c>
      <c r="G52" s="7"/>
      <c r="H52" s="7"/>
      <c r="I52" s="3">
        <v>114.29</v>
      </c>
      <c r="J52" s="3">
        <v>136</v>
      </c>
      <c r="K52" s="3">
        <v>1</v>
      </c>
      <c r="L52" s="3">
        <f>I52*K52</f>
        <v>114.29</v>
      </c>
      <c r="M52" s="3">
        <f>J52*K52</f>
        <v>136</v>
      </c>
      <c r="N52" s="3"/>
      <c r="O52" s="7" t="s">
        <v>91</v>
      </c>
      <c r="P52" s="3"/>
      <c r="Q52" s="3"/>
      <c r="R52" s="3"/>
      <c r="S52" s="3"/>
      <c r="T52" s="3"/>
    </row>
    <row r="53" spans="2:20" x14ac:dyDescent="0.25">
      <c r="B53" s="5">
        <v>51</v>
      </c>
      <c r="C53" s="3" t="s">
        <v>224</v>
      </c>
      <c r="D53" s="3"/>
      <c r="E53" s="3" t="s">
        <v>225</v>
      </c>
      <c r="F53" s="6" t="s">
        <v>4</v>
      </c>
      <c r="G53" s="3"/>
      <c r="H53" s="7"/>
      <c r="I53" s="3">
        <v>83.19</v>
      </c>
      <c r="J53" s="3">
        <v>99</v>
      </c>
      <c r="K53" s="3">
        <v>1</v>
      </c>
      <c r="L53" s="3">
        <f>I53*K53</f>
        <v>83.19</v>
      </c>
      <c r="M53" s="3">
        <f>J53*K53</f>
        <v>99</v>
      </c>
      <c r="N53" s="3"/>
      <c r="O53" s="7" t="s">
        <v>226</v>
      </c>
      <c r="P53" s="3"/>
      <c r="Q53" s="3"/>
      <c r="R53" s="3"/>
      <c r="S53" s="3"/>
      <c r="T53" s="3"/>
    </row>
    <row r="54" spans="2:20" x14ac:dyDescent="0.25">
      <c r="B54" s="5">
        <v>52</v>
      </c>
      <c r="C54" s="3" t="s">
        <v>227</v>
      </c>
      <c r="D54" s="3" t="s">
        <v>114</v>
      </c>
      <c r="E54" s="3" t="s">
        <v>228</v>
      </c>
      <c r="F54" s="6" t="s">
        <v>4</v>
      </c>
      <c r="G54" s="7"/>
      <c r="H54" s="7"/>
      <c r="I54" s="3">
        <v>89.29</v>
      </c>
      <c r="J54" s="3">
        <v>106.25</v>
      </c>
      <c r="K54" s="3">
        <v>1</v>
      </c>
      <c r="L54" s="3">
        <f>I54*K54</f>
        <v>89.29</v>
      </c>
      <c r="M54" s="3">
        <f>J54*K54</f>
        <v>106.25</v>
      </c>
      <c r="N54" s="3"/>
      <c r="O54" s="7" t="s">
        <v>91</v>
      </c>
      <c r="P54" s="3"/>
      <c r="Q54" s="3"/>
      <c r="R54" s="3"/>
      <c r="S54" s="3"/>
      <c r="T54" s="3"/>
    </row>
    <row r="55" spans="2:20" x14ac:dyDescent="0.25">
      <c r="B55" s="5">
        <v>53</v>
      </c>
      <c r="C55" s="3" t="s">
        <v>229</v>
      </c>
      <c r="D55" s="3" t="s">
        <v>229</v>
      </c>
      <c r="E55" s="3" t="s">
        <v>230</v>
      </c>
      <c r="F55" s="6" t="s">
        <v>4</v>
      </c>
      <c r="G55" s="7"/>
      <c r="H55" s="7"/>
      <c r="I55" s="3">
        <v>4.8</v>
      </c>
      <c r="J55" s="3">
        <v>4.8</v>
      </c>
      <c r="K55" s="3">
        <v>4</v>
      </c>
      <c r="L55" s="3">
        <f>I55*K55</f>
        <v>19.2</v>
      </c>
      <c r="M55" s="3">
        <f>J55*K55</f>
        <v>19.2</v>
      </c>
      <c r="N55" s="3"/>
      <c r="O55" s="7" t="s">
        <v>231</v>
      </c>
      <c r="P55" s="3"/>
      <c r="Q55" s="3"/>
      <c r="R55" s="3"/>
      <c r="S55" s="3"/>
      <c r="T55" s="3"/>
    </row>
    <row r="56" spans="2:20" x14ac:dyDescent="0.25">
      <c r="B56" s="5">
        <v>54</v>
      </c>
      <c r="C56" s="3" t="s">
        <v>232</v>
      </c>
      <c r="D56" s="3" t="s">
        <v>172</v>
      </c>
      <c r="E56" s="3" t="s">
        <v>233</v>
      </c>
      <c r="F56" s="6" t="s">
        <v>4</v>
      </c>
      <c r="G56" s="7"/>
      <c r="H56" s="7"/>
      <c r="I56" s="3">
        <v>3.57</v>
      </c>
      <c r="J56" s="3">
        <v>4.25</v>
      </c>
      <c r="K56" s="3">
        <v>4</v>
      </c>
      <c r="L56" s="3">
        <f>I56*K56</f>
        <v>14.28</v>
      </c>
      <c r="M56" s="3">
        <f>J56*K56</f>
        <v>17</v>
      </c>
      <c r="N56" s="3"/>
      <c r="O56" s="7" t="s">
        <v>91</v>
      </c>
      <c r="P56" s="3"/>
      <c r="Q56" s="3"/>
      <c r="R56" s="3"/>
      <c r="S56" s="3"/>
      <c r="T56" s="3"/>
    </row>
    <row r="57" spans="2:20" x14ac:dyDescent="0.25">
      <c r="B57" s="5">
        <v>55</v>
      </c>
      <c r="C57" s="3" t="s">
        <v>234</v>
      </c>
      <c r="D57" s="3" t="s">
        <v>235</v>
      </c>
      <c r="E57" s="3" t="s">
        <v>236</v>
      </c>
      <c r="F57" s="6" t="s">
        <v>4</v>
      </c>
      <c r="G57" s="7"/>
      <c r="H57" s="7"/>
      <c r="I57" s="3">
        <v>9.57</v>
      </c>
      <c r="J57" s="3">
        <v>9.57</v>
      </c>
      <c r="K57" s="3">
        <v>4</v>
      </c>
      <c r="L57" s="3">
        <f>I57*K57</f>
        <v>38.28</v>
      </c>
      <c r="M57" s="3">
        <f>J57*K57</f>
        <v>38.28</v>
      </c>
      <c r="N57" s="3"/>
      <c r="O57" s="7" t="s">
        <v>174</v>
      </c>
      <c r="P57" s="3"/>
      <c r="Q57" s="3"/>
      <c r="R57" s="3"/>
      <c r="S57" s="3"/>
      <c r="T57" s="3"/>
    </row>
    <row r="58" spans="2:20" x14ac:dyDescent="0.25">
      <c r="B58" s="5">
        <v>56</v>
      </c>
      <c r="C58" s="3" t="s">
        <v>237</v>
      </c>
      <c r="D58" s="3" t="s">
        <v>238</v>
      </c>
      <c r="E58" s="3" t="s">
        <v>239</v>
      </c>
      <c r="F58" s="6" t="s">
        <v>4</v>
      </c>
      <c r="G58" s="7">
        <v>3</v>
      </c>
      <c r="H58" s="7"/>
      <c r="I58" s="3">
        <v>35.799999999999997</v>
      </c>
      <c r="J58" s="3">
        <v>42.6</v>
      </c>
      <c r="K58" s="3">
        <v>1</v>
      </c>
      <c r="L58" s="3">
        <f>I58*K58</f>
        <v>35.799999999999997</v>
      </c>
      <c r="M58" s="3">
        <f>J58*K58</f>
        <v>42.6</v>
      </c>
      <c r="N58" s="3"/>
      <c r="O58" s="7" t="s">
        <v>16</v>
      </c>
      <c r="P58" s="3"/>
      <c r="Q58" s="3"/>
      <c r="R58" s="3"/>
      <c r="S58" s="3"/>
      <c r="T58" s="3"/>
    </row>
    <row r="59" spans="2:20" x14ac:dyDescent="0.25">
      <c r="B59" s="5">
        <v>57</v>
      </c>
      <c r="C59" s="3" t="s">
        <v>240</v>
      </c>
      <c r="D59" s="3" t="s">
        <v>241</v>
      </c>
      <c r="E59" s="3" t="s">
        <v>242</v>
      </c>
      <c r="F59" s="17" t="s">
        <v>4</v>
      </c>
      <c r="G59" s="7"/>
      <c r="H59" s="7"/>
      <c r="I59" s="3"/>
      <c r="J59" s="3">
        <v>67.599999999999994</v>
      </c>
      <c r="K59" s="3">
        <v>1</v>
      </c>
      <c r="L59" s="3">
        <f>I59*K59</f>
        <v>0</v>
      </c>
      <c r="M59" s="3">
        <f>J59*K59</f>
        <v>67.599999999999994</v>
      </c>
      <c r="N59" s="3"/>
      <c r="O59" s="7" t="s">
        <v>174</v>
      </c>
      <c r="P59" s="3"/>
      <c r="Q59" s="3"/>
      <c r="R59" s="3"/>
      <c r="S59" s="3"/>
      <c r="T59" s="3"/>
    </row>
    <row r="60" spans="2:20" x14ac:dyDescent="0.25">
      <c r="B60" s="5">
        <v>58</v>
      </c>
      <c r="C60" s="3" t="s">
        <v>243</v>
      </c>
      <c r="D60" s="3" t="s">
        <v>244</v>
      </c>
      <c r="E60" s="3" t="s">
        <v>245</v>
      </c>
      <c r="F60" s="17" t="s">
        <v>4</v>
      </c>
      <c r="G60" s="7"/>
      <c r="H60" s="7"/>
      <c r="I60" s="3"/>
      <c r="J60" s="3">
        <v>6.32</v>
      </c>
      <c r="K60" s="3">
        <v>1</v>
      </c>
      <c r="L60" s="3">
        <f>I60*K60</f>
        <v>0</v>
      </c>
      <c r="M60" s="3">
        <f>J60*K60</f>
        <v>6.32</v>
      </c>
      <c r="N60" s="3"/>
      <c r="O60" s="7" t="s">
        <v>174</v>
      </c>
      <c r="P60" s="3"/>
      <c r="Q60" s="3"/>
      <c r="R60" s="3"/>
      <c r="S60" s="3"/>
      <c r="T60" s="3"/>
    </row>
    <row r="61" spans="2:20" x14ac:dyDescent="0.25">
      <c r="B61" s="5">
        <v>59</v>
      </c>
      <c r="C61" s="3" t="s">
        <v>246</v>
      </c>
      <c r="D61" s="3" t="s">
        <v>247</v>
      </c>
      <c r="E61" s="3"/>
      <c r="F61" s="6" t="s">
        <v>4</v>
      </c>
      <c r="G61" s="7"/>
      <c r="H61" s="7"/>
      <c r="I61" s="3">
        <v>28.53</v>
      </c>
      <c r="J61" s="3">
        <v>33.950000000000003</v>
      </c>
      <c r="K61" s="3">
        <v>1</v>
      </c>
      <c r="L61" s="3"/>
      <c r="M61" s="3">
        <f>J61*K61</f>
        <v>33.950000000000003</v>
      </c>
      <c r="N61" s="3"/>
      <c r="O61" s="7" t="s">
        <v>248</v>
      </c>
      <c r="P61" s="3"/>
      <c r="Q61" s="3"/>
      <c r="R61" s="3"/>
      <c r="S61" s="3"/>
      <c r="T61" s="3"/>
    </row>
    <row r="62" spans="2:20" x14ac:dyDescent="0.25">
      <c r="B62" s="5">
        <v>60</v>
      </c>
      <c r="C62" s="13" t="s">
        <v>249</v>
      </c>
      <c r="D62" s="3" t="s">
        <v>250</v>
      </c>
      <c r="E62" s="3"/>
      <c r="F62" s="6" t="s">
        <v>4</v>
      </c>
      <c r="G62" s="7"/>
      <c r="H62" s="7" t="s">
        <v>251</v>
      </c>
      <c r="I62" s="3"/>
      <c r="J62" s="3">
        <v>9.99</v>
      </c>
      <c r="K62" s="3">
        <v>1</v>
      </c>
      <c r="L62" s="3">
        <f>I62*K62</f>
        <v>0</v>
      </c>
      <c r="M62" s="3">
        <f>J62*K62</f>
        <v>9.99</v>
      </c>
      <c r="N62" s="3"/>
      <c r="O62" s="7" t="s">
        <v>84</v>
      </c>
      <c r="P62" s="3"/>
      <c r="Q62" s="3"/>
      <c r="R62" s="3"/>
      <c r="S62" s="3"/>
      <c r="T62" s="3"/>
    </row>
    <row r="63" spans="2:20" x14ac:dyDescent="0.25">
      <c r="B63" s="5">
        <v>61</v>
      </c>
      <c r="C63" s="13" t="s">
        <v>252</v>
      </c>
      <c r="D63" s="3" t="s">
        <v>253</v>
      </c>
      <c r="E63" s="3"/>
      <c r="F63" s="6" t="s">
        <v>4</v>
      </c>
      <c r="G63" s="7"/>
      <c r="H63" s="7" t="s">
        <v>251</v>
      </c>
      <c r="I63" s="3"/>
      <c r="J63" s="3">
        <v>6.49</v>
      </c>
      <c r="K63" s="3">
        <v>1</v>
      </c>
      <c r="L63" s="3">
        <f>I63*K63</f>
        <v>0</v>
      </c>
      <c r="M63" s="3">
        <f>J63*K63</f>
        <v>6.49</v>
      </c>
      <c r="N63" s="3"/>
      <c r="O63" s="7" t="s">
        <v>84</v>
      </c>
      <c r="P63" s="3"/>
      <c r="Q63" s="3"/>
      <c r="R63" s="3"/>
      <c r="S63" s="3"/>
      <c r="T63" s="3"/>
    </row>
    <row r="64" spans="2:20" x14ac:dyDescent="0.25">
      <c r="B64" s="5">
        <v>62</v>
      </c>
      <c r="C64" s="3" t="s">
        <v>254</v>
      </c>
      <c r="D64" s="3" t="s">
        <v>255</v>
      </c>
      <c r="E64" s="3" t="s">
        <v>256</v>
      </c>
      <c r="F64" s="6" t="s">
        <v>4</v>
      </c>
      <c r="G64" s="7"/>
      <c r="H64" s="7"/>
      <c r="I64" s="3"/>
      <c r="J64" s="3">
        <v>27.2</v>
      </c>
      <c r="K64" s="3">
        <v>1</v>
      </c>
      <c r="L64" s="3">
        <f>I64*K64</f>
        <v>0</v>
      </c>
      <c r="M64" s="3">
        <f>J64*K64</f>
        <v>27.2</v>
      </c>
      <c r="N64" s="3"/>
      <c r="O64" s="7" t="s">
        <v>257</v>
      </c>
      <c r="P64" s="3"/>
      <c r="Q64" s="3"/>
      <c r="R64" s="3"/>
      <c r="S64" s="3"/>
      <c r="T64" s="3"/>
    </row>
    <row r="65" spans="2:20" x14ac:dyDescent="0.25">
      <c r="B65" s="5">
        <v>63</v>
      </c>
      <c r="C65" s="3" t="s">
        <v>258</v>
      </c>
      <c r="D65" s="3" t="s">
        <v>259</v>
      </c>
      <c r="E65" s="3" t="s">
        <v>260</v>
      </c>
      <c r="F65" s="6" t="s">
        <v>4</v>
      </c>
      <c r="G65" s="7"/>
      <c r="H65" s="7"/>
      <c r="I65" s="3"/>
      <c r="J65" s="3">
        <v>319</v>
      </c>
      <c r="K65" s="3">
        <v>1</v>
      </c>
      <c r="L65" s="3">
        <f>I65*K65</f>
        <v>0</v>
      </c>
      <c r="M65" s="8">
        <f>J65*K65</f>
        <v>319</v>
      </c>
      <c r="N65" s="3"/>
      <c r="O65" s="7" t="s">
        <v>261</v>
      </c>
      <c r="P65" s="3"/>
      <c r="Q65" s="3"/>
      <c r="R65" s="3"/>
      <c r="S65" s="3"/>
      <c r="T65" s="3"/>
    </row>
    <row r="66" spans="2:20" x14ac:dyDescent="0.25">
      <c r="B66" s="5">
        <v>64</v>
      </c>
      <c r="C66" s="3" t="s">
        <v>262</v>
      </c>
      <c r="D66" s="3" t="s">
        <v>263</v>
      </c>
      <c r="E66" s="3" t="s">
        <v>264</v>
      </c>
      <c r="F66" s="6" t="s">
        <v>4</v>
      </c>
      <c r="G66" s="7"/>
      <c r="H66" s="7"/>
      <c r="I66" s="3"/>
      <c r="J66" s="3">
        <v>88.19</v>
      </c>
      <c r="K66" s="3">
        <v>1</v>
      </c>
      <c r="L66" s="3">
        <f>I66*K66</f>
        <v>0</v>
      </c>
      <c r="M66" s="3">
        <f>J66*K66</f>
        <v>88.19</v>
      </c>
      <c r="N66" s="3"/>
      <c r="O66" s="7" t="s">
        <v>84</v>
      </c>
      <c r="P66" s="3"/>
      <c r="Q66" s="3"/>
      <c r="R66" s="3"/>
      <c r="S66" s="3"/>
      <c r="T66" s="3"/>
    </row>
    <row r="67" spans="2:20" x14ac:dyDescent="0.25">
      <c r="B67" s="5">
        <v>65</v>
      </c>
      <c r="C67" s="3" t="s">
        <v>265</v>
      </c>
      <c r="D67" s="3" t="s">
        <v>266</v>
      </c>
      <c r="E67" s="3" t="s">
        <v>267</v>
      </c>
      <c r="F67" s="6" t="s">
        <v>4</v>
      </c>
      <c r="G67" s="7"/>
      <c r="H67" s="7"/>
      <c r="I67" s="3"/>
      <c r="J67" s="3">
        <v>14.85</v>
      </c>
      <c r="K67" s="3">
        <v>1</v>
      </c>
      <c r="L67" s="3">
        <f>I67*K67</f>
        <v>0</v>
      </c>
      <c r="M67" s="3">
        <f>J67*K67</f>
        <v>14.85</v>
      </c>
      <c r="N67" s="3"/>
      <c r="O67" s="7"/>
      <c r="P67" s="3"/>
      <c r="Q67" s="3"/>
      <c r="R67" s="3"/>
      <c r="S67" s="3"/>
      <c r="T67" s="3"/>
    </row>
    <row r="68" spans="2:20" x14ac:dyDescent="0.25">
      <c r="B68" s="5">
        <v>66</v>
      </c>
      <c r="C68" s="3" t="s">
        <v>268</v>
      </c>
      <c r="D68" s="3" t="s">
        <v>269</v>
      </c>
      <c r="E68" s="3" t="s">
        <v>270</v>
      </c>
      <c r="F68" s="6" t="s">
        <v>4</v>
      </c>
      <c r="G68" s="7">
        <v>7</v>
      </c>
      <c r="H68" s="7"/>
      <c r="I68" s="3"/>
      <c r="J68" s="3">
        <v>5.51</v>
      </c>
      <c r="K68" s="3">
        <v>1</v>
      </c>
      <c r="L68" s="3">
        <f>I68*K68</f>
        <v>0</v>
      </c>
      <c r="M68" s="3">
        <f>J68*K68</f>
        <v>5.51</v>
      </c>
      <c r="N68" s="3"/>
      <c r="O68" s="7"/>
      <c r="P68" s="3"/>
      <c r="Q68" s="3"/>
      <c r="R68" s="3"/>
      <c r="S68" s="3"/>
      <c r="T68" s="3"/>
    </row>
    <row r="69" spans="2:20" x14ac:dyDescent="0.25">
      <c r="B69" s="5">
        <v>67</v>
      </c>
      <c r="C69" s="3" t="s">
        <v>271</v>
      </c>
      <c r="D69" s="3" t="s">
        <v>272</v>
      </c>
      <c r="E69" s="3" t="s">
        <v>273</v>
      </c>
      <c r="F69" s="6" t="s">
        <v>4</v>
      </c>
      <c r="G69" s="3"/>
      <c r="H69" s="3"/>
      <c r="I69" s="3">
        <v>22.31</v>
      </c>
      <c r="J69" s="3">
        <v>26.55</v>
      </c>
      <c r="K69" s="3">
        <v>1</v>
      </c>
      <c r="L69" s="3">
        <f>I69*K69</f>
        <v>22.31</v>
      </c>
      <c r="M69" s="3">
        <f>J69*K69</f>
        <v>26.55</v>
      </c>
      <c r="N69" s="3"/>
      <c r="O69" s="7"/>
      <c r="P69" s="3"/>
      <c r="Q69" s="3"/>
      <c r="R69" s="3"/>
      <c r="S69" s="3"/>
      <c r="T69" s="3"/>
    </row>
    <row r="70" spans="2:20" x14ac:dyDescent="0.25">
      <c r="B70" s="5">
        <v>68</v>
      </c>
      <c r="C70" s="3" t="s">
        <v>274</v>
      </c>
      <c r="D70" s="3" t="s">
        <v>275</v>
      </c>
      <c r="E70" s="3" t="s">
        <v>276</v>
      </c>
      <c r="F70" s="6" t="s">
        <v>4</v>
      </c>
      <c r="G70" s="3"/>
      <c r="H70" s="3"/>
      <c r="I70" s="3"/>
      <c r="J70" s="3">
        <v>10.5</v>
      </c>
      <c r="K70" s="3">
        <v>2</v>
      </c>
      <c r="L70" s="3">
        <f>I70*K70</f>
        <v>0</v>
      </c>
      <c r="M70" s="3">
        <f>J70*K70</f>
        <v>21</v>
      </c>
      <c r="N70" s="3"/>
      <c r="O70" s="7"/>
      <c r="P70" s="3"/>
      <c r="Q70" s="3"/>
      <c r="R70" s="3"/>
      <c r="S70" s="3"/>
      <c r="T70" s="3"/>
    </row>
    <row r="71" spans="2:20" x14ac:dyDescent="0.25">
      <c r="B71" s="5">
        <v>69</v>
      </c>
      <c r="C71" s="3" t="s">
        <v>277</v>
      </c>
      <c r="D71" s="3" t="s">
        <v>278</v>
      </c>
      <c r="E71" s="3" t="s">
        <v>279</v>
      </c>
      <c r="F71" s="6" t="s">
        <v>4</v>
      </c>
      <c r="G71" s="3"/>
      <c r="H71" s="3"/>
      <c r="I71" s="3"/>
      <c r="J71" s="3">
        <v>14.7</v>
      </c>
      <c r="K71" s="3">
        <v>1</v>
      </c>
      <c r="L71" s="3">
        <f>I71*K71</f>
        <v>0</v>
      </c>
      <c r="M71" s="3">
        <f>J71*K71</f>
        <v>14.7</v>
      </c>
      <c r="N71" s="3"/>
      <c r="O71" s="7"/>
      <c r="P71" s="3"/>
      <c r="Q71" s="3"/>
      <c r="R71" s="3"/>
      <c r="S71" s="3"/>
      <c r="T71" s="3"/>
    </row>
    <row r="72" spans="2:20" x14ac:dyDescent="0.25">
      <c r="B72" s="5">
        <v>70</v>
      </c>
      <c r="C72" s="3" t="s">
        <v>280</v>
      </c>
      <c r="D72" s="3" t="s">
        <v>281</v>
      </c>
      <c r="E72" s="3" t="s">
        <v>282</v>
      </c>
      <c r="F72" s="6" t="s">
        <v>4</v>
      </c>
      <c r="G72" s="3"/>
      <c r="H72" s="3"/>
      <c r="I72" s="3"/>
      <c r="J72" s="3">
        <v>25.3</v>
      </c>
      <c r="K72" s="3">
        <v>1</v>
      </c>
      <c r="L72" s="3">
        <f>I72*K72</f>
        <v>0</v>
      </c>
      <c r="M72" s="3">
        <f>J72*K72</f>
        <v>25.3</v>
      </c>
      <c r="N72" s="3"/>
      <c r="O72" s="7"/>
      <c r="P72" s="3"/>
      <c r="Q72" s="3"/>
      <c r="R72" s="3"/>
      <c r="S72" s="3"/>
      <c r="T72" s="3"/>
    </row>
    <row r="73" spans="2:20" x14ac:dyDescent="0.25">
      <c r="B73" s="5">
        <v>71</v>
      </c>
      <c r="C73" s="3" t="s">
        <v>283</v>
      </c>
      <c r="D73" s="3" t="s">
        <v>284</v>
      </c>
      <c r="E73" s="3" t="s">
        <v>285</v>
      </c>
      <c r="F73" s="6" t="s">
        <v>4</v>
      </c>
      <c r="G73" s="3"/>
      <c r="H73" s="3"/>
      <c r="I73" s="3"/>
      <c r="J73" s="3">
        <v>31.3</v>
      </c>
      <c r="K73" s="3">
        <v>1</v>
      </c>
      <c r="L73" s="3">
        <f>I73*K73</f>
        <v>0</v>
      </c>
      <c r="M73" s="3">
        <f>J73*K73</f>
        <v>31.3</v>
      </c>
      <c r="N73" s="3"/>
      <c r="O73" s="7"/>
      <c r="P73" s="3"/>
      <c r="Q73" s="3"/>
      <c r="R73" s="3"/>
      <c r="S73" s="3"/>
      <c r="T73" s="3"/>
    </row>
    <row r="74" spans="2:20" x14ac:dyDescent="0.25">
      <c r="B74" s="5">
        <v>72</v>
      </c>
      <c r="C74" s="3" t="s">
        <v>286</v>
      </c>
      <c r="D74" s="3" t="s">
        <v>287</v>
      </c>
      <c r="E74" s="3" t="s">
        <v>288</v>
      </c>
      <c r="F74" s="6" t="s">
        <v>4</v>
      </c>
      <c r="G74" s="3"/>
      <c r="H74" s="3"/>
      <c r="I74" s="3"/>
      <c r="J74" s="3">
        <v>22.4</v>
      </c>
      <c r="K74" s="3">
        <v>1</v>
      </c>
      <c r="L74" s="3">
        <f>I74*K74</f>
        <v>0</v>
      </c>
      <c r="M74" s="3">
        <f>J74*K74</f>
        <v>22.4</v>
      </c>
      <c r="N74" s="3"/>
      <c r="O74" s="7"/>
      <c r="P74" s="3"/>
      <c r="Q74" s="3"/>
      <c r="R74" s="3"/>
      <c r="S74" s="3"/>
      <c r="T74" s="3"/>
    </row>
    <row r="75" spans="2:20" x14ac:dyDescent="0.25">
      <c r="B75" s="5">
        <v>73</v>
      </c>
      <c r="C75" s="3" t="s">
        <v>289</v>
      </c>
      <c r="D75" s="3" t="s">
        <v>290</v>
      </c>
      <c r="E75" s="3" t="s">
        <v>291</v>
      </c>
      <c r="F75" s="6" t="s">
        <v>4</v>
      </c>
      <c r="G75" s="3"/>
      <c r="H75" s="3"/>
      <c r="I75" s="3"/>
      <c r="J75" s="3">
        <v>1</v>
      </c>
      <c r="K75" s="3">
        <v>20</v>
      </c>
      <c r="L75" s="3">
        <f>I75*K75</f>
        <v>0</v>
      </c>
      <c r="M75" s="3">
        <f>J75*K75</f>
        <v>20</v>
      </c>
      <c r="N75" s="3"/>
      <c r="O75" s="7"/>
      <c r="P75" s="3"/>
      <c r="Q75" s="3"/>
      <c r="R75" s="3"/>
      <c r="S75" s="3"/>
      <c r="T75" s="3"/>
    </row>
    <row r="76" spans="2:20" x14ac:dyDescent="0.25">
      <c r="B76" s="5">
        <v>74</v>
      </c>
      <c r="C76" s="3" t="s">
        <v>292</v>
      </c>
      <c r="D76" s="3" t="s">
        <v>293</v>
      </c>
      <c r="E76" s="3" t="s">
        <v>294</v>
      </c>
      <c r="F76" s="6" t="s">
        <v>4</v>
      </c>
      <c r="G76" s="3"/>
      <c r="H76" s="3"/>
      <c r="I76" s="3"/>
      <c r="J76" s="3">
        <v>4.8</v>
      </c>
      <c r="K76" s="3">
        <v>1</v>
      </c>
      <c r="L76" s="3">
        <f>I76*K76</f>
        <v>0</v>
      </c>
      <c r="M76" s="3">
        <f>J76*K76</f>
        <v>4.8</v>
      </c>
      <c r="N76" s="3"/>
      <c r="O76" s="7"/>
      <c r="P76" s="3"/>
      <c r="Q76" s="3"/>
      <c r="R76" s="3"/>
      <c r="S76" s="3"/>
      <c r="T76" s="3"/>
    </row>
    <row r="77" spans="2:20" x14ac:dyDescent="0.25">
      <c r="B77" s="5">
        <v>75</v>
      </c>
      <c r="C77" s="3" t="s">
        <v>295</v>
      </c>
      <c r="D77" s="3" t="s">
        <v>293</v>
      </c>
      <c r="E77" s="3" t="s">
        <v>296</v>
      </c>
      <c r="F77" s="6" t="s">
        <v>4</v>
      </c>
      <c r="G77" s="3"/>
      <c r="H77" s="3"/>
      <c r="I77" s="3"/>
      <c r="J77" s="3">
        <v>4.9000000000000004</v>
      </c>
      <c r="K77" s="3">
        <v>1</v>
      </c>
      <c r="L77" s="3">
        <f>I77*K77</f>
        <v>0</v>
      </c>
      <c r="M77" s="3">
        <f>J77*K77</f>
        <v>4.9000000000000004</v>
      </c>
      <c r="N77" s="3"/>
      <c r="O77" s="7"/>
      <c r="P77" s="3"/>
      <c r="Q77" s="3"/>
      <c r="R77" s="3"/>
      <c r="S77" s="3"/>
      <c r="T77" s="3"/>
    </row>
    <row r="78" spans="2:20" x14ac:dyDescent="0.25">
      <c r="B78" s="5">
        <v>76</v>
      </c>
      <c r="C78" s="3" t="s">
        <v>297</v>
      </c>
      <c r="D78" s="3"/>
      <c r="E78" s="3" t="s">
        <v>298</v>
      </c>
      <c r="F78" s="6" t="s">
        <v>4</v>
      </c>
      <c r="G78" s="3"/>
      <c r="H78" s="3"/>
      <c r="I78" s="3"/>
      <c r="J78" s="3">
        <v>2.42</v>
      </c>
      <c r="K78" s="3">
        <v>2</v>
      </c>
      <c r="L78" s="3">
        <f>I78*K78</f>
        <v>0</v>
      </c>
      <c r="M78" s="3">
        <f>J78*K78</f>
        <v>4.84</v>
      </c>
      <c r="N78" s="3"/>
      <c r="O78" s="7"/>
      <c r="P78" s="3"/>
      <c r="Q78" s="3"/>
      <c r="R78" s="3"/>
      <c r="S78" s="3"/>
      <c r="T78" s="3"/>
    </row>
    <row r="79" spans="2:20" x14ac:dyDescent="0.25">
      <c r="B79" s="5">
        <v>77</v>
      </c>
      <c r="C79" s="3" t="s">
        <v>299</v>
      </c>
      <c r="D79" s="3"/>
      <c r="E79" s="3" t="s">
        <v>300</v>
      </c>
      <c r="F79" s="6" t="s">
        <v>4</v>
      </c>
      <c r="G79" s="3"/>
      <c r="H79" s="3"/>
      <c r="I79" s="3"/>
      <c r="J79" s="3">
        <v>12.7</v>
      </c>
      <c r="K79" s="3">
        <v>1</v>
      </c>
      <c r="L79" s="3">
        <f>I79*K79</f>
        <v>0</v>
      </c>
      <c r="M79" s="3">
        <f>J79*K79</f>
        <v>12.7</v>
      </c>
      <c r="N79" s="3"/>
      <c r="O79" s="7"/>
      <c r="P79" s="3"/>
      <c r="Q79" s="3"/>
      <c r="R79" s="3"/>
      <c r="S79" s="3"/>
      <c r="T79" s="3"/>
    </row>
    <row r="80" spans="2:20" x14ac:dyDescent="0.25">
      <c r="B80" s="5">
        <v>78</v>
      </c>
      <c r="C80" s="3" t="s">
        <v>301</v>
      </c>
      <c r="D80" s="3" t="s">
        <v>302</v>
      </c>
      <c r="E80" s="3" t="s">
        <v>303</v>
      </c>
      <c r="F80" s="17" t="s">
        <v>4</v>
      </c>
      <c r="G80" s="3"/>
      <c r="H80" s="3"/>
      <c r="I80" s="3"/>
      <c r="J80" s="3">
        <v>1.94</v>
      </c>
      <c r="K80" s="3">
        <v>5</v>
      </c>
      <c r="L80" s="3">
        <f>I80*K80</f>
        <v>0</v>
      </c>
      <c r="M80" s="3">
        <f>J80*K80</f>
        <v>9.6999999999999993</v>
      </c>
      <c r="N80" s="3"/>
      <c r="O80" s="7"/>
      <c r="P80" s="3"/>
      <c r="Q80" s="3"/>
      <c r="R80" s="3"/>
      <c r="S80" s="3"/>
      <c r="T80" s="3"/>
    </row>
    <row r="81" spans="2:20" x14ac:dyDescent="0.25">
      <c r="B81" s="5">
        <v>79</v>
      </c>
      <c r="C81" s="3" t="s">
        <v>304</v>
      </c>
      <c r="D81" s="3" t="s">
        <v>305</v>
      </c>
      <c r="E81" s="3" t="s">
        <v>306</v>
      </c>
      <c r="F81" s="17" t="s">
        <v>4</v>
      </c>
      <c r="G81" s="3"/>
      <c r="H81" s="3"/>
      <c r="I81" s="3"/>
      <c r="J81" s="3">
        <v>1.33</v>
      </c>
      <c r="K81" s="3">
        <v>10</v>
      </c>
      <c r="L81" s="3">
        <f>I81*K81</f>
        <v>0</v>
      </c>
      <c r="M81" s="3">
        <f>J81*K81</f>
        <v>13.3</v>
      </c>
      <c r="N81" s="3"/>
      <c r="O81" s="7"/>
      <c r="P81" s="3"/>
      <c r="Q81" s="3"/>
      <c r="R81" s="3"/>
      <c r="S81" s="3"/>
      <c r="T81" s="3"/>
    </row>
    <row r="82" spans="2:20" x14ac:dyDescent="0.25">
      <c r="B82" s="5">
        <v>80</v>
      </c>
      <c r="C82" s="3" t="s">
        <v>307</v>
      </c>
      <c r="D82" s="3" t="s">
        <v>308</v>
      </c>
      <c r="E82" s="3" t="s">
        <v>309</v>
      </c>
      <c r="F82" s="17" t="s">
        <v>4</v>
      </c>
      <c r="G82" s="3"/>
      <c r="H82" s="3"/>
      <c r="I82" s="3"/>
      <c r="J82" s="3">
        <v>4.38</v>
      </c>
      <c r="K82" s="3">
        <v>6</v>
      </c>
      <c r="L82" s="3">
        <f>I82*K82</f>
        <v>0</v>
      </c>
      <c r="M82" s="3">
        <f>J82*K82</f>
        <v>26.28</v>
      </c>
      <c r="N82" s="3"/>
      <c r="O82" s="7"/>
      <c r="P82" s="3"/>
      <c r="Q82" s="3"/>
      <c r="R82" s="3"/>
      <c r="S82" s="3"/>
      <c r="T82" s="3"/>
    </row>
    <row r="83" spans="2:20" x14ac:dyDescent="0.25">
      <c r="B83" s="5">
        <v>81</v>
      </c>
      <c r="C83" s="3" t="s">
        <v>310</v>
      </c>
      <c r="D83" s="3"/>
      <c r="E83" s="3" t="s">
        <v>311</v>
      </c>
      <c r="F83" s="6" t="s">
        <v>4</v>
      </c>
      <c r="G83" s="3"/>
      <c r="H83" s="3"/>
      <c r="I83" s="3"/>
      <c r="J83" s="3">
        <v>1.05</v>
      </c>
      <c r="K83" s="3">
        <v>5</v>
      </c>
      <c r="L83" s="3">
        <f>I83*K83</f>
        <v>0</v>
      </c>
      <c r="M83" s="3">
        <f>J83*K83</f>
        <v>5.25</v>
      </c>
      <c r="N83" s="3"/>
      <c r="O83" s="7"/>
      <c r="P83" s="3"/>
      <c r="Q83" s="3"/>
      <c r="R83" s="3"/>
      <c r="S83" s="3"/>
      <c r="T83" s="3"/>
    </row>
    <row r="84" spans="2:20" x14ac:dyDescent="0.25">
      <c r="B84" s="5">
        <v>82</v>
      </c>
      <c r="C84" s="3" t="s">
        <v>312</v>
      </c>
      <c r="D84" s="3"/>
      <c r="E84" s="3" t="s">
        <v>313</v>
      </c>
      <c r="F84" s="6" t="s">
        <v>4</v>
      </c>
      <c r="G84" s="3"/>
      <c r="H84" s="3"/>
      <c r="I84" s="3"/>
      <c r="J84" s="3">
        <v>1.05</v>
      </c>
      <c r="K84" s="3">
        <v>5</v>
      </c>
      <c r="L84" s="3">
        <f>I84*K84</f>
        <v>0</v>
      </c>
      <c r="M84" s="3">
        <f>J84*K84</f>
        <v>5.25</v>
      </c>
      <c r="N84" s="3"/>
      <c r="O84" s="7"/>
      <c r="P84" s="3"/>
      <c r="Q84" s="3"/>
      <c r="R84" s="3"/>
      <c r="S84" s="3"/>
      <c r="T84" s="3"/>
    </row>
    <row r="85" spans="2:20" x14ac:dyDescent="0.25">
      <c r="B85" s="5">
        <v>83</v>
      </c>
      <c r="C85" s="3" t="s">
        <v>314</v>
      </c>
      <c r="D85" s="3"/>
      <c r="E85" s="3" t="s">
        <v>315</v>
      </c>
      <c r="F85" s="6" t="s">
        <v>4</v>
      </c>
      <c r="G85" s="3"/>
      <c r="H85" s="3"/>
      <c r="I85" s="3"/>
      <c r="J85" s="3">
        <v>10.14</v>
      </c>
      <c r="K85" s="3">
        <v>1</v>
      </c>
      <c r="L85" s="3">
        <f>I85*K85</f>
        <v>0</v>
      </c>
      <c r="M85" s="3">
        <f>J85*K85</f>
        <v>10.14</v>
      </c>
      <c r="N85" s="3"/>
      <c r="O85" s="7"/>
      <c r="P85" s="3"/>
      <c r="Q85" s="3"/>
      <c r="R85" s="3"/>
      <c r="S85" s="3"/>
      <c r="T85" s="3"/>
    </row>
    <row r="86" spans="2:20" x14ac:dyDescent="0.25">
      <c r="B86" s="5">
        <v>84</v>
      </c>
      <c r="C86" s="3" t="s">
        <v>316</v>
      </c>
      <c r="D86" s="3" t="s">
        <v>317</v>
      </c>
      <c r="E86" s="3"/>
      <c r="F86" s="6" t="s">
        <v>318</v>
      </c>
      <c r="G86" s="3"/>
      <c r="H86" s="3"/>
      <c r="I86" s="3"/>
      <c r="J86" s="3">
        <v>171.9</v>
      </c>
      <c r="K86" s="3">
        <v>1</v>
      </c>
      <c r="L86" s="3">
        <f>I86*K86</f>
        <v>0</v>
      </c>
      <c r="M86" s="3">
        <f>J86*K86</f>
        <v>171.9</v>
      </c>
      <c r="N86" s="3"/>
      <c r="O86" s="3"/>
      <c r="P86" s="3"/>
      <c r="Q86" s="3"/>
      <c r="R86" s="3"/>
      <c r="S86" s="3"/>
      <c r="T86" s="3"/>
    </row>
    <row r="87" spans="2:20" x14ac:dyDescent="0.25">
      <c r="B87" s="5">
        <v>85</v>
      </c>
      <c r="C87" s="3" t="s">
        <v>319</v>
      </c>
      <c r="D87" s="3" t="s">
        <v>320</v>
      </c>
      <c r="E87" s="3" t="s">
        <v>321</v>
      </c>
      <c r="F87" s="6" t="s">
        <v>318</v>
      </c>
      <c r="G87" s="3"/>
      <c r="H87" s="3"/>
      <c r="I87" s="3">
        <v>196.43</v>
      </c>
      <c r="J87" s="3">
        <v>233.75</v>
      </c>
      <c r="K87" s="3">
        <v>1</v>
      </c>
      <c r="L87" s="3">
        <f>I87*K87</f>
        <v>196.43</v>
      </c>
      <c r="M87" s="3">
        <f>J87*K87</f>
        <v>233.75</v>
      </c>
      <c r="N87" s="3"/>
      <c r="O87" s="3"/>
      <c r="P87" s="3"/>
      <c r="Q87" s="3"/>
      <c r="R87" s="3"/>
      <c r="S87" s="3"/>
      <c r="T87" s="3"/>
    </row>
    <row r="88" spans="2:20" x14ac:dyDescent="0.25">
      <c r="B88" s="5">
        <v>86</v>
      </c>
      <c r="C88" s="3" t="s">
        <v>322</v>
      </c>
      <c r="D88" s="3" t="s">
        <v>323</v>
      </c>
      <c r="E88" s="3" t="s">
        <v>324</v>
      </c>
      <c r="F88" s="6" t="s">
        <v>318</v>
      </c>
      <c r="G88" s="3"/>
      <c r="H88" s="3"/>
      <c r="I88" s="3">
        <v>125</v>
      </c>
      <c r="J88" s="3">
        <v>148.75</v>
      </c>
      <c r="K88" s="3">
        <v>1</v>
      </c>
      <c r="L88" s="3">
        <f>I88*K88</f>
        <v>125</v>
      </c>
      <c r="M88" s="3">
        <f>J88*K88</f>
        <v>148.75</v>
      </c>
      <c r="N88" s="3"/>
      <c r="O88" s="3"/>
      <c r="P88" s="3"/>
      <c r="Q88" s="3"/>
      <c r="R88" s="3"/>
      <c r="S88" s="3"/>
      <c r="T88" s="3"/>
    </row>
    <row r="89" spans="2:20" x14ac:dyDescent="0.25">
      <c r="B89" s="5">
        <v>87</v>
      </c>
      <c r="C89" s="3" t="s">
        <v>325</v>
      </c>
      <c r="D89" s="3" t="s">
        <v>326</v>
      </c>
      <c r="E89" s="3" t="s">
        <v>327</v>
      </c>
      <c r="F89" s="6" t="s">
        <v>318</v>
      </c>
      <c r="G89" s="3"/>
      <c r="H89" s="3"/>
      <c r="I89" s="3"/>
      <c r="J89" s="3">
        <v>280</v>
      </c>
      <c r="K89" s="3">
        <v>1</v>
      </c>
      <c r="L89" s="3">
        <f>I89*K89</f>
        <v>0</v>
      </c>
      <c r="M89" s="16">
        <f>J89*K89</f>
        <v>280</v>
      </c>
      <c r="N89" s="3"/>
      <c r="O89" s="3"/>
      <c r="P89" s="3"/>
      <c r="Q89" s="3"/>
      <c r="R89" s="3"/>
      <c r="S89" s="3"/>
      <c r="T89" s="3"/>
    </row>
    <row r="90" spans="2:20" x14ac:dyDescent="0.25">
      <c r="B90" s="5">
        <v>88</v>
      </c>
      <c r="C90" s="3" t="s">
        <v>328</v>
      </c>
      <c r="D90" s="3" t="s">
        <v>323</v>
      </c>
      <c r="E90" s="3" t="s">
        <v>329</v>
      </c>
      <c r="F90" s="6" t="s">
        <v>318</v>
      </c>
      <c r="G90" s="3"/>
      <c r="H90" s="3"/>
      <c r="I90" s="3"/>
      <c r="J90" s="3">
        <v>299</v>
      </c>
      <c r="K90" s="3">
        <v>1</v>
      </c>
      <c r="L90" s="3">
        <f>I90*K90</f>
        <v>0</v>
      </c>
      <c r="M90" s="8">
        <f>J90*K90</f>
        <v>299</v>
      </c>
      <c r="N90" s="3"/>
      <c r="O90" s="3"/>
      <c r="P90" s="3"/>
      <c r="Q90" s="3"/>
      <c r="R90" s="3"/>
      <c r="S90" s="3"/>
      <c r="T90" s="3"/>
    </row>
    <row r="91" spans="2:20" x14ac:dyDescent="0.25">
      <c r="B91" s="5">
        <v>89</v>
      </c>
      <c r="C91" s="3" t="s">
        <v>330</v>
      </c>
      <c r="D91" s="3"/>
      <c r="E91" s="3"/>
      <c r="F91" s="6" t="s">
        <v>4</v>
      </c>
      <c r="G91" s="3"/>
      <c r="H91" s="3"/>
      <c r="I91" s="3"/>
      <c r="J91" s="3">
        <v>24</v>
      </c>
      <c r="K91" s="3">
        <v>5</v>
      </c>
      <c r="L91" s="3">
        <f>I91*K91</f>
        <v>0</v>
      </c>
      <c r="M91" s="3">
        <f>J91*K91</f>
        <v>120</v>
      </c>
      <c r="N91" s="3"/>
      <c r="O91" s="3"/>
      <c r="P91" s="3"/>
      <c r="Q91" s="3"/>
      <c r="R91" s="3"/>
      <c r="S91" s="3"/>
      <c r="T91" s="3"/>
    </row>
    <row r="92" spans="2:20" x14ac:dyDescent="0.25">
      <c r="B92" s="5">
        <v>90</v>
      </c>
      <c r="C92" s="3" t="s">
        <v>331</v>
      </c>
      <c r="D92" s="3"/>
      <c r="E92" s="3"/>
      <c r="F92" s="6" t="s">
        <v>4</v>
      </c>
      <c r="G92" s="3"/>
      <c r="H92" s="3"/>
      <c r="I92" s="3"/>
      <c r="J92" s="3">
        <v>15.15</v>
      </c>
      <c r="K92" s="3">
        <v>5</v>
      </c>
      <c r="L92" s="3">
        <f>I92*K92</f>
        <v>0</v>
      </c>
      <c r="M92" s="3">
        <f>J92*K92</f>
        <v>75.75</v>
      </c>
      <c r="N92" s="3"/>
      <c r="O92" s="3"/>
      <c r="P92" s="3"/>
      <c r="Q92" s="3"/>
      <c r="R92" s="3"/>
      <c r="S92" s="3"/>
      <c r="T92" s="3"/>
    </row>
    <row r="93" spans="2:20" x14ac:dyDescent="0.25">
      <c r="B93" s="5">
        <v>91</v>
      </c>
      <c r="C93" s="16" t="s">
        <v>332</v>
      </c>
      <c r="D93" s="3"/>
      <c r="E93" s="3"/>
      <c r="F93" s="3"/>
      <c r="G93" s="3"/>
      <c r="H93" s="7" t="s">
        <v>333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2:20" x14ac:dyDescent="0.25">
      <c r="B94" s="5">
        <v>92</v>
      </c>
      <c r="C94" s="3" t="s">
        <v>334</v>
      </c>
      <c r="D94" s="3"/>
      <c r="E94" s="3"/>
      <c r="F94" s="6" t="s">
        <v>4</v>
      </c>
      <c r="G94" s="3"/>
      <c r="H94" s="3"/>
      <c r="I94" s="3"/>
      <c r="J94" s="3">
        <v>39</v>
      </c>
      <c r="K94" s="3">
        <v>3</v>
      </c>
      <c r="L94" s="3">
        <f>I94*K94</f>
        <v>0</v>
      </c>
      <c r="M94" s="3">
        <f>J94*K94</f>
        <v>117</v>
      </c>
      <c r="N94" s="3"/>
      <c r="O94" s="3"/>
      <c r="P94" s="3"/>
      <c r="Q94" s="3"/>
      <c r="R94" s="3"/>
      <c r="S94" s="3"/>
      <c r="T94" s="3"/>
    </row>
    <row r="95" spans="2:20" x14ac:dyDescent="0.25">
      <c r="B95" s="5">
        <v>93</v>
      </c>
      <c r="C95" s="3" t="s">
        <v>335</v>
      </c>
      <c r="D95" s="3" t="s">
        <v>176</v>
      </c>
      <c r="E95" s="3" t="s">
        <v>336</v>
      </c>
      <c r="F95" s="6" t="s">
        <v>4</v>
      </c>
      <c r="G95" s="7">
        <v>4</v>
      </c>
      <c r="H95" s="7"/>
      <c r="I95" s="3">
        <v>6.72</v>
      </c>
      <c r="J95" s="3">
        <v>8</v>
      </c>
      <c r="K95" s="3">
        <v>5</v>
      </c>
      <c r="L95" s="3">
        <f>I95*K95</f>
        <v>33.6</v>
      </c>
      <c r="M95" s="3">
        <f>J95*K95</f>
        <v>40</v>
      </c>
      <c r="N95" s="3"/>
      <c r="O95" s="7" t="s">
        <v>157</v>
      </c>
      <c r="P95" s="3"/>
      <c r="Q95" s="3"/>
      <c r="R95" s="3"/>
      <c r="S95" s="3"/>
      <c r="T95" s="3"/>
    </row>
  </sheetData>
  <mergeCells count="1">
    <mergeCell ref="P2:T2"/>
  </mergeCells>
  <conditionalFormatting sqref="E1:E1048576">
    <cfRule type="duplicateValues" dxfId="0" priority="1"/>
  </conditionalFormatting>
  <hyperlinks>
    <hyperlink ref="F3" r:id="rId1" xr:uid="{D09308B1-2C70-4DE2-BA56-534B3B952AA1}"/>
    <hyperlink ref="F4" r:id="rId2" xr:uid="{06A30C57-91AF-459E-858D-A6837DBC1541}"/>
    <hyperlink ref="F5" r:id="rId3" xr:uid="{5D704E7C-4CBF-45DC-BB48-640FBF6F67A9}"/>
    <hyperlink ref="F10" r:id="rId4" xr:uid="{FB27E771-CB50-48D1-B1DD-17A0D747CD15}"/>
    <hyperlink ref="F6" r:id="rId5" xr:uid="{1439CB81-460F-4BA3-8247-9663B5A88477}"/>
    <hyperlink ref="F7" r:id="rId6" xr:uid="{D5E54041-AEC9-4C28-BC1F-28E4520C8C86}"/>
    <hyperlink ref="F11" r:id="rId7" xr:uid="{22F5EC15-7FC6-4605-8060-A707FA6BCC7D}"/>
    <hyperlink ref="F12" r:id="rId8" xr:uid="{055AB09B-D87A-4060-8F48-137E8BDB6A2A}"/>
    <hyperlink ref="F8" r:id="rId9" xr:uid="{C2AFC7D9-F915-4C6A-A9CF-98E1115222CA}"/>
    <hyperlink ref="F13" r:id="rId10" xr:uid="{AF81336B-43A1-49F2-9461-F3D1CD2DE641}"/>
    <hyperlink ref="F14" r:id="rId11" xr:uid="{8F197C59-C9F3-48A7-915A-58B7850C1C0C}"/>
    <hyperlink ref="F15" r:id="rId12" xr:uid="{34717B83-B59B-4A46-B590-B7DF87352DE7}"/>
    <hyperlink ref="F17" r:id="rId13" xr:uid="{C0E8529C-2739-47E9-88D9-336E17097452}"/>
    <hyperlink ref="F16" r:id="rId14" xr:uid="{C42C3D5A-4AF2-4920-BAE8-BBA15C7361A6}"/>
    <hyperlink ref="F9" r:id="rId15" xr:uid="{D7C1396B-D6DD-493F-999A-A897924C88AC}"/>
    <hyperlink ref="F20" r:id="rId16" xr:uid="{C40404C7-37A0-4140-AA69-5B47624FEF79}"/>
    <hyperlink ref="F21" r:id="rId17" xr:uid="{2CDEFDAC-4B15-4969-B498-B1BDB4A8EEE3}"/>
    <hyperlink ref="F22" r:id="rId18" xr:uid="{10AA47FC-DDE9-4FB9-A8D5-4097D735093A}"/>
    <hyperlink ref="F24" r:id="rId19" xr:uid="{5C3EF02E-1324-44E2-8C94-F5BC245BF7D7}"/>
    <hyperlink ref="F25" r:id="rId20" xr:uid="{C094B57D-0F2D-48CB-B7B0-CCFA96776439}"/>
    <hyperlink ref="F26" r:id="rId21" xr:uid="{76CF69CF-878E-4A9E-9ED0-601BAEC00B5E}"/>
    <hyperlink ref="F27" r:id="rId22" xr:uid="{4558587B-DB0F-44E0-AA66-4FE48321B89D}"/>
    <hyperlink ref="F28" r:id="rId23" xr:uid="{2B55AF95-F956-4A11-9C49-4BDB3C464B16}"/>
    <hyperlink ref="F29" r:id="rId24" xr:uid="{6170F8EE-3FF0-408C-B363-CF6DE67AA84A}"/>
    <hyperlink ref="F30" r:id="rId25" xr:uid="{C640578F-3CEF-49FA-AD76-AB4A85771EAF}"/>
    <hyperlink ref="F48" r:id="rId26" xr:uid="{39D5DCC3-FE6F-49F6-8F9B-550C38A016E9}"/>
    <hyperlink ref="F33" r:id="rId27" xr:uid="{471D33B8-6EB7-4F7A-B035-8C089E6B9D8E}"/>
    <hyperlink ref="F34" r:id="rId28" xr:uid="{69FF322E-FFA0-4C3D-8670-3D000AE22279}"/>
    <hyperlink ref="F35" r:id="rId29" xr:uid="{928037AD-D6FE-4AE8-BA25-1394F45E70C9}"/>
    <hyperlink ref="F37" r:id="rId30" xr:uid="{66F89138-7112-4FD4-864E-B952D28D616F}"/>
    <hyperlink ref="F38" r:id="rId31" xr:uid="{4BD31CA4-25D9-43F7-A3C8-555D2AFC92A6}"/>
    <hyperlink ref="F39" r:id="rId32" xr:uid="{0F18E1D8-767B-486F-82B0-DD4835DAB0AD}"/>
    <hyperlink ref="F40" r:id="rId33" xr:uid="{BCFEA520-A1CD-419B-A30A-66D16359C324}"/>
    <hyperlink ref="F41" r:id="rId34" xr:uid="{3894732C-BD91-4AE8-AA29-B06018816517}"/>
    <hyperlink ref="F42" r:id="rId35" xr:uid="{13AD315E-D697-44FA-BD13-F982D827E26C}"/>
    <hyperlink ref="F43" r:id="rId36" xr:uid="{C72C622C-8AFE-4640-B4CB-187FCE1E454B}"/>
    <hyperlink ref="F44" r:id="rId37" xr:uid="{AC4C5558-97FF-4D57-B5F9-6A9318280EDC}"/>
    <hyperlink ref="F45" r:id="rId38" xr:uid="{79FEA88A-93A7-4E41-AF14-21FB66DC5C05}"/>
    <hyperlink ref="F46" r:id="rId39" xr:uid="{BDBF1F30-8122-43EB-8318-089F81FE472E}"/>
    <hyperlink ref="F47" r:id="rId40" xr:uid="{E0CABCB1-37A2-4F78-978E-1C6A79C7234C}"/>
    <hyperlink ref="F62" r:id="rId41" xr:uid="{38DEF162-8AB1-46B6-99FB-C214C9923993}"/>
    <hyperlink ref="F63" r:id="rId42" xr:uid="{EEA7DE96-6DBD-4647-AB34-0B276A377EBD}"/>
    <hyperlink ref="F18" r:id="rId43" xr:uid="{DB398834-1495-4A92-B2F2-995D334D0183}"/>
    <hyperlink ref="F19" r:id="rId44" xr:uid="{DEC64E9D-C5B0-40EC-B0B5-622EDB977E6E}"/>
    <hyperlink ref="F32" r:id="rId45" xr:uid="{7B24B4EB-C0F7-43ED-9DDC-0FE209B36CF7}"/>
    <hyperlink ref="F36" r:id="rId46" xr:uid="{CA34759E-A43A-402C-8941-E83F02E50DD3}"/>
    <hyperlink ref="F49" r:id="rId47" xr:uid="{233572CC-6236-4F60-A5E5-A4EC43554407}"/>
    <hyperlink ref="F52" r:id="rId48" xr:uid="{8A15C9B0-1A32-40C2-9C9A-7A7CFF31B9A1}"/>
    <hyperlink ref="F54" r:id="rId49" xr:uid="{58615EF6-7957-46CE-B26A-872D2B09230D}"/>
    <hyperlink ref="F53" r:id="rId50" xr:uid="{DED6FE68-79A9-489A-92B9-A5BBB160CBF1}"/>
    <hyperlink ref="F50" r:id="rId51" xr:uid="{D7A65B0B-EDCD-4D1B-9B80-4F479D7BB758}"/>
    <hyperlink ref="F51" r:id="rId52" xr:uid="{6C3836C1-0599-4DA8-8A28-41C0523E3092}"/>
    <hyperlink ref="F55" r:id="rId53" xr:uid="{2ED1E2E4-DC55-4162-A8DC-968FCF67D11F}"/>
    <hyperlink ref="F56" r:id="rId54" xr:uid="{A958BE0E-785D-4BFE-97B4-ED64EC5545B1}"/>
    <hyperlink ref="F57" r:id="rId55" xr:uid="{5BA3CB46-9C91-4DAC-813E-0E5BA4A7527F}"/>
    <hyperlink ref="F59" r:id="rId56" xr:uid="{CE808BB3-43CA-45F4-9654-FCEB8AEB899D}"/>
    <hyperlink ref="F60" r:id="rId57" xr:uid="{4DBD7453-D7DC-4405-9417-9E6E96C6F0D9}"/>
    <hyperlink ref="F61" r:id="rId58" xr:uid="{647CB461-10B9-4B9E-B490-FE4BD01F8284}"/>
    <hyperlink ref="F31" r:id="rId59" xr:uid="{540032C5-1DB7-4918-A3D2-D489A8E0D92D}"/>
    <hyperlink ref="F65" r:id="rId60" xr:uid="{2D4EA818-5987-4A63-AE3A-A77B409E4719}"/>
    <hyperlink ref="F64" r:id="rId61" xr:uid="{23F952BB-EB5B-4B06-8849-F8DB8966D33E}"/>
    <hyperlink ref="F66" r:id="rId62" xr:uid="{63E7A750-8E2E-4137-88B5-98DCBB6ED34E}"/>
    <hyperlink ref="F67" r:id="rId63" xr:uid="{4CDA1106-8661-4D8A-AB4C-3FC2AA2D4648}"/>
    <hyperlink ref="F68" r:id="rId64" xr:uid="{85F17FC6-41C5-42CE-9F9A-44A4D3F2DFB2}"/>
    <hyperlink ref="F69" r:id="rId65" xr:uid="{6421B09C-8F7F-4483-A36A-75516DF60745}"/>
    <hyperlink ref="F70" r:id="rId66" xr:uid="{3CA526D1-CDCA-4DC0-A05F-AF4D8775CDB8}"/>
    <hyperlink ref="F71" r:id="rId67" display="link" xr:uid="{B19B0902-0519-4F01-80BA-A1983FA6380C}"/>
    <hyperlink ref="F72" r:id="rId68" xr:uid="{19E1D992-78AD-4A3B-8FAA-EA944F4F4121}"/>
    <hyperlink ref="F73" r:id="rId69" xr:uid="{FBA6F166-C933-4A94-96C3-A0065A0B023E}"/>
    <hyperlink ref="F74" r:id="rId70" xr:uid="{A51F9F8E-97D4-46EB-942A-F02655183ED5}"/>
    <hyperlink ref="F75" r:id="rId71" xr:uid="{DFEB4EE2-7888-4C74-B563-659DD5C37622}"/>
    <hyperlink ref="F76" r:id="rId72" xr:uid="{59230AA2-2134-4160-9612-0C241C8FB45A}"/>
    <hyperlink ref="F77" r:id="rId73" xr:uid="{34AA7CEE-892E-451E-9474-59C6406DB45D}"/>
    <hyperlink ref="F78" r:id="rId74" xr:uid="{7F5C21D3-A959-4089-95D0-9797339C62E7}"/>
    <hyperlink ref="F79" r:id="rId75" xr:uid="{BD593F46-C645-47F4-A794-27CC49D08151}"/>
    <hyperlink ref="F80" r:id="rId76" xr:uid="{B7B7BECB-4F87-4E4C-899E-40A0D7DD6722}"/>
    <hyperlink ref="F81" r:id="rId77" xr:uid="{5915390B-ED0C-4ED0-8AE5-BE9EE407FEC6}"/>
    <hyperlink ref="F82" r:id="rId78" xr:uid="{EEC2C724-EEF2-47D9-838E-93F10BAD6585}"/>
    <hyperlink ref="F83" r:id="rId79" xr:uid="{BE29C748-D779-437F-804F-E11278ACB772}"/>
    <hyperlink ref="F84" r:id="rId80" xr:uid="{A2FA8862-F8BC-4505-9BD1-A5076E30B56E}"/>
    <hyperlink ref="F85" r:id="rId81" xr:uid="{78DC16E1-DCA1-4387-A263-452586E3253C}"/>
    <hyperlink ref="F86" r:id="rId82" xr:uid="{F0CB5CCA-703D-4476-90F9-10EBF41D1C3E}"/>
    <hyperlink ref="F87" r:id="rId83" xr:uid="{7D45A393-4588-4369-B1EF-0B83BA63B9BA}"/>
    <hyperlink ref="F88" r:id="rId84" xr:uid="{16C2849C-2471-473B-A9A2-480FF588945C}"/>
    <hyperlink ref="F89" r:id="rId85" xr:uid="{4C30E027-F1E1-40D6-92CF-2044FF2261F9}"/>
    <hyperlink ref="F90" r:id="rId86" xr:uid="{CF10CB96-2950-4AA1-879F-DB586399D757}"/>
    <hyperlink ref="F91" r:id="rId87" xr:uid="{97F43D6A-CAD9-4DF1-91E9-20842DBD34B9}"/>
    <hyperlink ref="F92" r:id="rId88" xr:uid="{09BA422C-5505-4D02-BC2F-0B22DD571677}"/>
    <hyperlink ref="F94" r:id="rId89" xr:uid="{4F843D1B-2AB6-4506-B093-FC0AB82C8272}"/>
    <hyperlink ref="F58" r:id="rId90" xr:uid="{ACF35C8B-AB9F-479D-8CCE-B927076543D2}"/>
    <hyperlink ref="F95" r:id="rId91" xr:uid="{3934DB6A-BA06-4C49-96CA-4C5A988D5D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D16F8-DABB-4FFF-814F-C84D05B15FB6}">
  <dimension ref="B2:V122"/>
  <sheetViews>
    <sheetView workbookViewId="0">
      <selection activeCell="E12" sqref="E12"/>
    </sheetView>
  </sheetViews>
  <sheetFormatPr defaultRowHeight="15" x14ac:dyDescent="0.25"/>
  <cols>
    <col min="1" max="1" width="3.5703125" customWidth="1"/>
    <col min="2" max="2" width="22" customWidth="1"/>
    <col min="3" max="3" width="9.28515625" customWidth="1"/>
    <col min="4" max="4" width="11.28515625" bestFit="1" customWidth="1"/>
    <col min="5" max="5" width="81.5703125" bestFit="1" customWidth="1"/>
    <col min="6" max="6" width="29.7109375" bestFit="1" customWidth="1"/>
    <col min="7" max="7" width="32.7109375" bestFit="1" customWidth="1"/>
    <col min="8" max="8" width="10.42578125" customWidth="1"/>
    <col min="9" max="9" width="16.140625" bestFit="1" customWidth="1"/>
    <col min="10" max="10" width="10.28515625" customWidth="1"/>
    <col min="11" max="11" width="7" bestFit="1" customWidth="1"/>
    <col min="12" max="12" width="7.85546875" bestFit="1" customWidth="1"/>
    <col min="13" max="13" width="11" bestFit="1" customWidth="1"/>
    <col min="14" max="15" width="10.28515625" bestFit="1" customWidth="1"/>
    <col min="16" max="16" width="2.140625" customWidth="1"/>
    <col min="17" max="17" width="12.7109375" customWidth="1"/>
    <col min="18" max="18" width="41.140625" bestFit="1" customWidth="1"/>
    <col min="19" max="19" width="47.85546875" bestFit="1" customWidth="1"/>
    <col min="20" max="20" width="47" bestFit="1" customWidth="1"/>
    <col min="21" max="21" width="28.85546875" bestFit="1" customWidth="1"/>
    <col min="22" max="22" width="42.42578125" bestFit="1" customWidth="1"/>
  </cols>
  <sheetData>
    <row r="2" spans="2:22" ht="15.75" thickBot="1" x14ac:dyDescent="0.3">
      <c r="B2" s="18" t="s">
        <v>337</v>
      </c>
      <c r="C2" s="18" t="s">
        <v>0</v>
      </c>
      <c r="D2" s="18" t="s">
        <v>338</v>
      </c>
      <c r="E2" s="18" t="s">
        <v>1</v>
      </c>
      <c r="F2" s="18" t="s">
        <v>2</v>
      </c>
      <c r="G2" s="19" t="s">
        <v>3</v>
      </c>
      <c r="H2" s="18" t="s">
        <v>4</v>
      </c>
      <c r="I2" s="18" t="s">
        <v>5</v>
      </c>
      <c r="J2" s="18" t="s">
        <v>6</v>
      </c>
      <c r="K2" s="18" t="s">
        <v>7</v>
      </c>
      <c r="L2" s="18" t="s">
        <v>8</v>
      </c>
      <c r="M2" s="18" t="s">
        <v>9</v>
      </c>
      <c r="N2" s="18" t="s">
        <v>10</v>
      </c>
      <c r="O2" s="20" t="s">
        <v>10</v>
      </c>
      <c r="Q2" s="21" t="s">
        <v>11</v>
      </c>
      <c r="R2" s="22" t="s">
        <v>12</v>
      </c>
      <c r="S2" s="23"/>
      <c r="T2" s="23"/>
      <c r="U2" s="23"/>
      <c r="V2" s="24"/>
    </row>
    <row r="3" spans="2:22" x14ac:dyDescent="0.25">
      <c r="B3" s="25" t="s">
        <v>339</v>
      </c>
      <c r="C3" s="26">
        <v>1</v>
      </c>
      <c r="D3" s="26">
        <v>1</v>
      </c>
      <c r="E3" s="27" t="s">
        <v>13</v>
      </c>
      <c r="F3" s="28" t="s">
        <v>14</v>
      </c>
      <c r="G3" s="28" t="s">
        <v>15</v>
      </c>
      <c r="H3" s="29" t="s">
        <v>4</v>
      </c>
      <c r="I3" s="30">
        <v>11</v>
      </c>
      <c r="J3" s="30"/>
      <c r="K3" s="28">
        <v>142.74</v>
      </c>
      <c r="L3" s="28">
        <v>169.86</v>
      </c>
      <c r="M3" s="28">
        <v>2</v>
      </c>
      <c r="N3" s="28">
        <f>K3*M3</f>
        <v>285.48</v>
      </c>
      <c r="O3" s="28">
        <f>L3*M3</f>
        <v>339.72</v>
      </c>
      <c r="P3" s="31"/>
      <c r="Q3" s="30" t="s">
        <v>16</v>
      </c>
      <c r="R3" s="32" t="s">
        <v>17</v>
      </c>
      <c r="S3" s="28"/>
      <c r="T3" s="28"/>
      <c r="U3" s="28"/>
      <c r="V3" s="33"/>
    </row>
    <row r="4" spans="2:22" x14ac:dyDescent="0.25">
      <c r="B4" s="34"/>
      <c r="C4" s="5">
        <v>2</v>
      </c>
      <c r="D4" s="5">
        <v>2</v>
      </c>
      <c r="E4" s="8" t="s">
        <v>18</v>
      </c>
      <c r="F4" s="3" t="s">
        <v>19</v>
      </c>
      <c r="G4" s="3" t="s">
        <v>20</v>
      </c>
      <c r="H4" s="6" t="s">
        <v>4</v>
      </c>
      <c r="I4" s="7">
        <v>3</v>
      </c>
      <c r="J4" s="7"/>
      <c r="K4" s="3">
        <v>29.28</v>
      </c>
      <c r="L4" s="3">
        <v>34.840000000000003</v>
      </c>
      <c r="M4" s="3">
        <v>4</v>
      </c>
      <c r="N4" s="3">
        <f t="shared" ref="N4:N16" si="0">K4*M4</f>
        <v>117.12</v>
      </c>
      <c r="O4" s="3">
        <f t="shared" ref="O4:O16" si="1">L4*M4</f>
        <v>139.36000000000001</v>
      </c>
      <c r="Q4" s="7" t="s">
        <v>16</v>
      </c>
      <c r="R4" s="10" t="s">
        <v>21</v>
      </c>
      <c r="S4" s="3" t="s">
        <v>22</v>
      </c>
      <c r="T4" s="3" t="s">
        <v>23</v>
      </c>
      <c r="U4" s="3" t="s">
        <v>24</v>
      </c>
      <c r="V4" s="35"/>
    </row>
    <row r="5" spans="2:22" x14ac:dyDescent="0.25">
      <c r="B5" s="34"/>
      <c r="C5" s="5">
        <v>3</v>
      </c>
      <c r="D5" s="5">
        <v>3</v>
      </c>
      <c r="E5" s="8" t="s">
        <v>25</v>
      </c>
      <c r="F5" s="3" t="s">
        <v>26</v>
      </c>
      <c r="G5" s="3" t="s">
        <v>27</v>
      </c>
      <c r="H5" s="6" t="s">
        <v>4</v>
      </c>
      <c r="I5" s="7">
        <v>1</v>
      </c>
      <c r="J5" s="7"/>
      <c r="K5" s="3">
        <v>1.51</v>
      </c>
      <c r="L5" s="3">
        <v>1.8</v>
      </c>
      <c r="M5" s="3">
        <v>40</v>
      </c>
      <c r="N5" s="3">
        <f t="shared" si="0"/>
        <v>60.4</v>
      </c>
      <c r="O5" s="3">
        <f t="shared" si="1"/>
        <v>72</v>
      </c>
      <c r="Q5" s="7" t="s">
        <v>16</v>
      </c>
      <c r="R5" s="3" t="s">
        <v>28</v>
      </c>
      <c r="S5" s="3" t="s">
        <v>29</v>
      </c>
      <c r="T5" s="3" t="s">
        <v>30</v>
      </c>
      <c r="U5" s="3"/>
      <c r="V5" s="35"/>
    </row>
    <row r="6" spans="2:22" x14ac:dyDescent="0.25">
      <c r="B6" s="34"/>
      <c r="C6" s="5">
        <v>4</v>
      </c>
      <c r="D6" s="5">
        <v>4</v>
      </c>
      <c r="E6" s="8" t="s">
        <v>31</v>
      </c>
      <c r="F6" s="3" t="s">
        <v>32</v>
      </c>
      <c r="G6" s="3" t="s">
        <v>33</v>
      </c>
      <c r="H6" s="6" t="s">
        <v>4</v>
      </c>
      <c r="I6" s="7">
        <v>8</v>
      </c>
      <c r="J6" s="7"/>
      <c r="K6" s="3">
        <v>0.06</v>
      </c>
      <c r="L6" s="3">
        <v>7.0000000000000007E-2</v>
      </c>
      <c r="M6" s="3">
        <v>100</v>
      </c>
      <c r="N6" s="11">
        <f>K6*M6</f>
        <v>6</v>
      </c>
      <c r="O6" s="3">
        <f>L6*M6</f>
        <v>7.0000000000000009</v>
      </c>
      <c r="Q6" s="7" t="s">
        <v>16</v>
      </c>
      <c r="R6" s="3" t="s">
        <v>34</v>
      </c>
      <c r="S6" s="10" t="s">
        <v>35</v>
      </c>
      <c r="T6" s="3" t="s">
        <v>36</v>
      </c>
      <c r="U6" s="3" t="s">
        <v>37</v>
      </c>
      <c r="V6" s="35" t="s">
        <v>38</v>
      </c>
    </row>
    <row r="7" spans="2:22" x14ac:dyDescent="0.25">
      <c r="B7" s="34"/>
      <c r="C7" s="5">
        <v>5</v>
      </c>
      <c r="D7" s="5">
        <v>5</v>
      </c>
      <c r="E7" s="8" t="s">
        <v>39</v>
      </c>
      <c r="F7" s="3" t="s">
        <v>40</v>
      </c>
      <c r="G7" s="3" t="s">
        <v>41</v>
      </c>
      <c r="H7" s="6" t="s">
        <v>4</v>
      </c>
      <c r="I7" s="7">
        <v>1</v>
      </c>
      <c r="J7" s="7"/>
      <c r="K7" s="3">
        <v>36.4</v>
      </c>
      <c r="L7" s="3">
        <v>43.32</v>
      </c>
      <c r="M7" s="3">
        <v>1</v>
      </c>
      <c r="N7" s="11">
        <f>K7*M7</f>
        <v>36.4</v>
      </c>
      <c r="O7" s="3">
        <f>L7*M7</f>
        <v>43.32</v>
      </c>
      <c r="Q7" s="7" t="s">
        <v>16</v>
      </c>
      <c r="R7" s="3" t="s">
        <v>42</v>
      </c>
      <c r="S7" s="3" t="s">
        <v>37</v>
      </c>
      <c r="T7" s="3" t="s">
        <v>43</v>
      </c>
      <c r="U7" s="3" t="s">
        <v>44</v>
      </c>
      <c r="V7" s="35"/>
    </row>
    <row r="8" spans="2:22" x14ac:dyDescent="0.25">
      <c r="B8" s="34"/>
      <c r="C8" s="5">
        <v>6</v>
      </c>
      <c r="D8" s="5">
        <v>6</v>
      </c>
      <c r="E8" s="8" t="s">
        <v>45</v>
      </c>
      <c r="F8" s="3" t="s">
        <v>46</v>
      </c>
      <c r="G8" s="3" t="s">
        <v>47</v>
      </c>
      <c r="H8" s="6" t="s">
        <v>4</v>
      </c>
      <c r="I8" s="7">
        <v>8</v>
      </c>
      <c r="J8" s="7"/>
      <c r="K8" s="3">
        <v>4.54</v>
      </c>
      <c r="L8" s="3">
        <v>5.4</v>
      </c>
      <c r="M8" s="3">
        <v>4</v>
      </c>
      <c r="N8" s="3">
        <f>K8*M8</f>
        <v>18.16</v>
      </c>
      <c r="O8" s="3">
        <f>L8*M8</f>
        <v>21.6</v>
      </c>
      <c r="Q8" s="7" t="s">
        <v>16</v>
      </c>
      <c r="R8" s="3" t="s">
        <v>48</v>
      </c>
      <c r="S8" s="3"/>
      <c r="T8" s="3"/>
      <c r="U8" s="3"/>
      <c r="V8" s="35"/>
    </row>
    <row r="9" spans="2:22" ht="15.75" thickBot="1" x14ac:dyDescent="0.3">
      <c r="B9" s="36"/>
      <c r="C9" s="37">
        <v>7</v>
      </c>
      <c r="D9" s="37">
        <v>7</v>
      </c>
      <c r="E9" s="38" t="s">
        <v>49</v>
      </c>
      <c r="F9" s="39" t="s">
        <v>46</v>
      </c>
      <c r="G9" s="39" t="s">
        <v>50</v>
      </c>
      <c r="H9" s="40" t="s">
        <v>4</v>
      </c>
      <c r="I9" s="41">
        <v>1</v>
      </c>
      <c r="J9" s="41"/>
      <c r="K9" s="39">
        <v>1.83</v>
      </c>
      <c r="L9" s="39">
        <v>2.1800000000000002</v>
      </c>
      <c r="M9" s="39">
        <v>16</v>
      </c>
      <c r="N9" s="39">
        <f>K9*M9</f>
        <v>29.28</v>
      </c>
      <c r="O9" s="39">
        <f>L9*M9</f>
        <v>34.880000000000003</v>
      </c>
      <c r="P9" s="42"/>
      <c r="Q9" s="41" t="s">
        <v>16</v>
      </c>
      <c r="R9" s="39" t="s">
        <v>51</v>
      </c>
      <c r="S9" s="39" t="s">
        <v>52</v>
      </c>
      <c r="T9" s="39" t="s">
        <v>53</v>
      </c>
      <c r="U9" s="39" t="s">
        <v>54</v>
      </c>
      <c r="V9" s="43"/>
    </row>
    <row r="10" spans="2:22" ht="15.75" thickBot="1" x14ac:dyDescent="0.3">
      <c r="B10" s="44"/>
      <c r="I10" s="45"/>
      <c r="J10" s="46"/>
      <c r="N10" s="47"/>
    </row>
    <row r="11" spans="2:22" x14ac:dyDescent="0.25">
      <c r="B11" s="25" t="s">
        <v>61</v>
      </c>
      <c r="C11" s="26">
        <v>8</v>
      </c>
      <c r="D11" s="26">
        <v>8</v>
      </c>
      <c r="E11" s="27" t="s">
        <v>55</v>
      </c>
      <c r="F11" s="28" t="s">
        <v>56</v>
      </c>
      <c r="G11" s="28" t="s">
        <v>57</v>
      </c>
      <c r="H11" s="29" t="s">
        <v>4</v>
      </c>
      <c r="I11" s="30">
        <v>10</v>
      </c>
      <c r="J11" s="30"/>
      <c r="K11" s="28">
        <v>32.5</v>
      </c>
      <c r="L11" s="28">
        <v>38.68</v>
      </c>
      <c r="M11" s="28">
        <v>3</v>
      </c>
      <c r="N11" s="48">
        <f t="shared" si="0"/>
        <v>97.5</v>
      </c>
      <c r="O11" s="28">
        <f t="shared" si="1"/>
        <v>116.03999999999999</v>
      </c>
      <c r="P11" s="31"/>
      <c r="Q11" s="30" t="s">
        <v>16</v>
      </c>
      <c r="R11" s="28" t="s">
        <v>58</v>
      </c>
      <c r="S11" s="28" t="s">
        <v>59</v>
      </c>
      <c r="T11" s="28"/>
      <c r="U11" s="28"/>
      <c r="V11" s="33"/>
    </row>
    <row r="12" spans="2:22" x14ac:dyDescent="0.25">
      <c r="B12" s="34"/>
      <c r="C12" s="5">
        <v>9</v>
      </c>
      <c r="D12" s="5">
        <v>9</v>
      </c>
      <c r="E12" s="8" t="s">
        <v>60</v>
      </c>
      <c r="F12" s="3" t="s">
        <v>61</v>
      </c>
      <c r="G12" s="3" t="s">
        <v>62</v>
      </c>
      <c r="H12" s="6" t="s">
        <v>4</v>
      </c>
      <c r="I12" s="7">
        <v>9</v>
      </c>
      <c r="J12" s="7"/>
      <c r="K12" s="3">
        <v>38.1</v>
      </c>
      <c r="L12" s="3">
        <v>45.34</v>
      </c>
      <c r="M12" s="3">
        <v>2</v>
      </c>
      <c r="N12" s="11">
        <f t="shared" si="0"/>
        <v>76.2</v>
      </c>
      <c r="O12" s="3">
        <f t="shared" si="1"/>
        <v>90.68</v>
      </c>
      <c r="Q12" s="7" t="s">
        <v>16</v>
      </c>
      <c r="R12" s="3" t="s">
        <v>63</v>
      </c>
      <c r="S12" s="3" t="s">
        <v>64</v>
      </c>
      <c r="T12" s="3"/>
      <c r="U12" s="3"/>
      <c r="V12" s="35"/>
    </row>
    <row r="13" spans="2:22" x14ac:dyDescent="0.25">
      <c r="B13" s="34"/>
      <c r="C13" s="5">
        <v>10</v>
      </c>
      <c r="D13" s="5">
        <v>10</v>
      </c>
      <c r="E13" s="8" t="s">
        <v>65</v>
      </c>
      <c r="F13" s="3" t="s">
        <v>66</v>
      </c>
      <c r="G13" s="3" t="s">
        <v>67</v>
      </c>
      <c r="H13" s="6" t="s">
        <v>4</v>
      </c>
      <c r="I13" s="7">
        <v>3</v>
      </c>
      <c r="J13" s="7"/>
      <c r="K13" s="3">
        <v>21.6</v>
      </c>
      <c r="L13" s="3">
        <v>25.7</v>
      </c>
      <c r="M13" s="3">
        <v>2</v>
      </c>
      <c r="N13" s="11">
        <f t="shared" si="0"/>
        <v>43.2</v>
      </c>
      <c r="O13" s="3">
        <f t="shared" si="1"/>
        <v>51.4</v>
      </c>
      <c r="Q13" s="7" t="s">
        <v>16</v>
      </c>
      <c r="R13" s="3" t="s">
        <v>22</v>
      </c>
      <c r="S13" s="3" t="s">
        <v>23</v>
      </c>
      <c r="T13" s="3" t="s">
        <v>68</v>
      </c>
      <c r="U13" s="3"/>
      <c r="V13" s="35"/>
    </row>
    <row r="14" spans="2:22" x14ac:dyDescent="0.25">
      <c r="B14" s="34"/>
      <c r="C14" s="5">
        <v>11</v>
      </c>
      <c r="D14" s="5">
        <v>11</v>
      </c>
      <c r="E14" s="8" t="s">
        <v>69</v>
      </c>
      <c r="F14" s="3" t="s">
        <v>70</v>
      </c>
      <c r="G14" s="3" t="s">
        <v>71</v>
      </c>
      <c r="H14" s="6" t="s">
        <v>4</v>
      </c>
      <c r="I14" s="7">
        <v>1</v>
      </c>
      <c r="J14" s="7"/>
      <c r="K14" s="3">
        <v>2.12</v>
      </c>
      <c r="L14" s="3">
        <v>2.52</v>
      </c>
      <c r="M14" s="3">
        <v>10</v>
      </c>
      <c r="N14" s="11">
        <f t="shared" si="0"/>
        <v>21.200000000000003</v>
      </c>
      <c r="O14" s="3">
        <f t="shared" si="1"/>
        <v>25.2</v>
      </c>
      <c r="Q14" s="7" t="s">
        <v>16</v>
      </c>
      <c r="R14" s="3" t="s">
        <v>51</v>
      </c>
      <c r="S14" s="3" t="s">
        <v>72</v>
      </c>
      <c r="T14" s="3" t="s">
        <v>73</v>
      </c>
      <c r="U14" s="3" t="s">
        <v>54</v>
      </c>
      <c r="V14" s="35"/>
    </row>
    <row r="15" spans="2:22" x14ac:dyDescent="0.25">
      <c r="B15" s="34"/>
      <c r="C15" s="5">
        <v>12</v>
      </c>
      <c r="D15" s="5">
        <v>12</v>
      </c>
      <c r="E15" s="8" t="s">
        <v>31</v>
      </c>
      <c r="F15" s="3" t="s">
        <v>32</v>
      </c>
      <c r="G15" s="3" t="s">
        <v>74</v>
      </c>
      <c r="H15" s="6" t="s">
        <v>4</v>
      </c>
      <c r="I15" s="7">
        <v>8</v>
      </c>
      <c r="J15" s="7"/>
      <c r="K15" s="3">
        <v>0.08</v>
      </c>
      <c r="L15" s="3">
        <v>0.1</v>
      </c>
      <c r="M15" s="3">
        <v>100</v>
      </c>
      <c r="N15" s="3">
        <f t="shared" si="0"/>
        <v>8</v>
      </c>
      <c r="O15" s="3">
        <f t="shared" si="1"/>
        <v>10</v>
      </c>
      <c r="Q15" s="7" t="s">
        <v>16</v>
      </c>
      <c r="R15" s="3" t="s">
        <v>34</v>
      </c>
      <c r="S15" s="12" t="s">
        <v>75</v>
      </c>
      <c r="T15" s="3" t="s">
        <v>76</v>
      </c>
      <c r="U15" s="3" t="s">
        <v>37</v>
      </c>
      <c r="V15" s="35" t="s">
        <v>38</v>
      </c>
    </row>
    <row r="16" spans="2:22" x14ac:dyDescent="0.25">
      <c r="B16" s="34"/>
      <c r="C16" s="5">
        <v>13</v>
      </c>
      <c r="D16" s="5">
        <v>13</v>
      </c>
      <c r="E16" s="8" t="s">
        <v>77</v>
      </c>
      <c r="F16" s="3" t="s">
        <v>40</v>
      </c>
      <c r="G16" s="3" t="s">
        <v>78</v>
      </c>
      <c r="H16" s="6" t="s">
        <v>4</v>
      </c>
      <c r="I16" s="7">
        <v>1</v>
      </c>
      <c r="J16" s="7"/>
      <c r="K16" s="3">
        <v>0.43</v>
      </c>
      <c r="L16" s="3">
        <v>0.51</v>
      </c>
      <c r="M16" s="3">
        <v>100</v>
      </c>
      <c r="N16" s="3">
        <f t="shared" si="0"/>
        <v>43</v>
      </c>
      <c r="O16" s="3">
        <f t="shared" si="1"/>
        <v>51</v>
      </c>
      <c r="Q16" s="7" t="s">
        <v>16</v>
      </c>
      <c r="R16" s="3" t="s">
        <v>79</v>
      </c>
      <c r="S16" s="3" t="s">
        <v>37</v>
      </c>
      <c r="T16" s="3" t="s">
        <v>43</v>
      </c>
      <c r="U16" s="3" t="s">
        <v>80</v>
      </c>
      <c r="V16" s="35"/>
    </row>
    <row r="17" spans="2:22" x14ac:dyDescent="0.25">
      <c r="B17" s="34"/>
      <c r="C17" s="5">
        <v>14</v>
      </c>
      <c r="D17" s="5">
        <v>14</v>
      </c>
      <c r="E17" s="49" t="s">
        <v>340</v>
      </c>
      <c r="F17" s="3"/>
      <c r="G17" s="3"/>
      <c r="H17" s="6"/>
      <c r="I17" s="7"/>
      <c r="J17" s="7"/>
      <c r="K17" s="3"/>
      <c r="L17" s="3"/>
      <c r="M17" s="3">
        <v>4</v>
      </c>
      <c r="N17" s="3"/>
      <c r="O17" s="3"/>
      <c r="Q17" s="7" t="s">
        <v>341</v>
      </c>
      <c r="R17" s="3"/>
      <c r="S17" s="3"/>
      <c r="T17" s="3"/>
      <c r="U17" s="3"/>
      <c r="V17" s="35"/>
    </row>
    <row r="18" spans="2:22" x14ac:dyDescent="0.25">
      <c r="B18" s="34"/>
      <c r="C18" s="5">
        <v>15</v>
      </c>
      <c r="D18" s="5">
        <v>15</v>
      </c>
      <c r="E18" s="49" t="s">
        <v>342</v>
      </c>
      <c r="F18" s="3"/>
      <c r="G18" s="3"/>
      <c r="H18" s="6"/>
      <c r="I18" s="7"/>
      <c r="J18" s="7"/>
      <c r="K18" s="3"/>
      <c r="L18" s="3"/>
      <c r="M18" s="3">
        <v>8</v>
      </c>
      <c r="N18" s="3"/>
      <c r="O18" s="3"/>
      <c r="Q18" s="7" t="s">
        <v>341</v>
      </c>
      <c r="R18" s="3"/>
      <c r="S18" s="3"/>
      <c r="T18" s="3"/>
      <c r="U18" s="3"/>
      <c r="V18" s="35"/>
    </row>
    <row r="19" spans="2:22" ht="15.75" thickBot="1" x14ac:dyDescent="0.3">
      <c r="B19" s="36"/>
      <c r="C19" s="37">
        <v>16</v>
      </c>
      <c r="D19" s="37">
        <v>16</v>
      </c>
      <c r="E19" s="50" t="s">
        <v>343</v>
      </c>
      <c r="F19" s="39"/>
      <c r="G19" s="39"/>
      <c r="H19" s="40"/>
      <c r="I19" s="41"/>
      <c r="J19" s="41"/>
      <c r="K19" s="39"/>
      <c r="L19" s="39"/>
      <c r="M19" s="39">
        <v>4</v>
      </c>
      <c r="N19" s="39"/>
      <c r="O19" s="39"/>
      <c r="P19" s="42"/>
      <c r="Q19" s="41" t="s">
        <v>341</v>
      </c>
      <c r="R19" s="39"/>
      <c r="S19" s="39"/>
      <c r="T19" s="39"/>
      <c r="U19" s="39"/>
      <c r="V19" s="43"/>
    </row>
    <row r="20" spans="2:22" ht="15.75" thickBot="1" x14ac:dyDescent="0.3">
      <c r="B20" s="44"/>
      <c r="C20" s="44"/>
      <c r="D20" s="44"/>
      <c r="E20" s="44"/>
      <c r="F20" s="44"/>
      <c r="G20" s="44"/>
      <c r="H20" s="44"/>
      <c r="I20" s="45"/>
      <c r="J20" s="45"/>
      <c r="K20" s="44"/>
      <c r="L20" s="44"/>
      <c r="M20" s="44"/>
      <c r="N20" s="44"/>
      <c r="O20" s="44"/>
      <c r="Q20" s="45"/>
      <c r="R20" s="44"/>
      <c r="S20" s="44"/>
      <c r="T20" s="44"/>
      <c r="U20" s="44"/>
      <c r="V20" s="44"/>
    </row>
    <row r="21" spans="2:22" x14ac:dyDescent="0.25">
      <c r="B21" s="51" t="s">
        <v>344</v>
      </c>
      <c r="C21" s="30">
        <v>17</v>
      </c>
      <c r="D21" s="30">
        <v>17</v>
      </c>
      <c r="E21" s="52" t="s">
        <v>81</v>
      </c>
      <c r="F21" s="28" t="s">
        <v>82</v>
      </c>
      <c r="G21" s="53"/>
      <c r="H21" s="54" t="s">
        <v>4</v>
      </c>
      <c r="I21" s="30"/>
      <c r="J21" s="30" t="s">
        <v>251</v>
      </c>
      <c r="K21" s="28"/>
      <c r="L21" s="28">
        <v>88.21</v>
      </c>
      <c r="M21" s="28">
        <v>3</v>
      </c>
      <c r="N21" s="28">
        <f t="shared" ref="N21" si="2">K21*M21</f>
        <v>0</v>
      </c>
      <c r="O21" s="28">
        <f t="shared" ref="O21:O64" si="3">L21*M21</f>
        <v>264.63</v>
      </c>
      <c r="P21" s="31"/>
      <c r="Q21" s="30" t="s">
        <v>84</v>
      </c>
      <c r="R21" s="28"/>
      <c r="S21" s="28"/>
      <c r="T21" s="28"/>
      <c r="U21" s="28"/>
      <c r="V21" s="33"/>
    </row>
    <row r="22" spans="2:22" x14ac:dyDescent="0.25">
      <c r="B22" s="55"/>
      <c r="C22" s="7">
        <v>18</v>
      </c>
      <c r="D22" s="7">
        <v>18</v>
      </c>
      <c r="E22" s="13" t="s">
        <v>85</v>
      </c>
      <c r="F22" s="3" t="s">
        <v>86</v>
      </c>
      <c r="G22" s="3" t="s">
        <v>87</v>
      </c>
      <c r="H22" s="6" t="s">
        <v>4</v>
      </c>
      <c r="I22" s="7"/>
      <c r="J22" s="7" t="s">
        <v>251</v>
      </c>
      <c r="K22" s="3"/>
      <c r="L22" s="3">
        <v>15.99</v>
      </c>
      <c r="M22" s="3">
        <v>4</v>
      </c>
      <c r="N22" s="3">
        <f>K22*M22</f>
        <v>0</v>
      </c>
      <c r="O22" s="3">
        <f t="shared" si="3"/>
        <v>63.96</v>
      </c>
      <c r="Q22" s="7" t="s">
        <v>84</v>
      </c>
      <c r="R22" s="3"/>
      <c r="S22" s="3"/>
      <c r="T22" s="3"/>
      <c r="U22" s="3"/>
      <c r="V22" s="35"/>
    </row>
    <row r="23" spans="2:22" x14ac:dyDescent="0.25">
      <c r="B23" s="55"/>
      <c r="C23" s="7">
        <v>19</v>
      </c>
      <c r="D23" s="7">
        <v>19</v>
      </c>
      <c r="E23" s="49" t="s">
        <v>345</v>
      </c>
      <c r="F23" s="3"/>
      <c r="G23" s="3"/>
      <c r="H23" s="3"/>
      <c r="I23" s="7"/>
      <c r="J23" s="7"/>
      <c r="K23" s="3"/>
      <c r="L23" s="3"/>
      <c r="M23" s="3">
        <v>4</v>
      </c>
      <c r="N23" s="3">
        <f t="shared" ref="N23:N48" si="4">K23*M23</f>
        <v>0</v>
      </c>
      <c r="O23" s="3">
        <f t="shared" si="3"/>
        <v>0</v>
      </c>
      <c r="Q23" s="7" t="s">
        <v>341</v>
      </c>
      <c r="R23" s="3"/>
      <c r="S23" s="3"/>
      <c r="T23" s="3"/>
      <c r="U23" s="3"/>
      <c r="V23" s="35"/>
    </row>
    <row r="24" spans="2:22" x14ac:dyDescent="0.25">
      <c r="B24" s="55"/>
      <c r="C24" s="7">
        <v>20</v>
      </c>
      <c r="D24" s="7">
        <v>20</v>
      </c>
      <c r="E24" s="8" t="s">
        <v>88</v>
      </c>
      <c r="F24" s="3" t="s">
        <v>89</v>
      </c>
      <c r="G24" s="3" t="s">
        <v>90</v>
      </c>
      <c r="H24" s="6" t="s">
        <v>4</v>
      </c>
      <c r="I24" s="7"/>
      <c r="J24" s="7"/>
      <c r="K24" s="3">
        <v>10.71</v>
      </c>
      <c r="L24" s="3">
        <v>12.75</v>
      </c>
      <c r="M24" s="3">
        <v>6</v>
      </c>
      <c r="N24" s="3">
        <f t="shared" si="4"/>
        <v>64.260000000000005</v>
      </c>
      <c r="O24" s="3">
        <f t="shared" si="3"/>
        <v>76.5</v>
      </c>
      <c r="Q24" s="7" t="s">
        <v>91</v>
      </c>
      <c r="R24" s="3"/>
      <c r="S24" s="3"/>
      <c r="T24" s="3"/>
      <c r="U24" s="3"/>
      <c r="V24" s="35"/>
    </row>
    <row r="25" spans="2:22" x14ac:dyDescent="0.25">
      <c r="B25" s="55"/>
      <c r="C25" s="7">
        <v>21</v>
      </c>
      <c r="D25" s="7"/>
      <c r="E25" s="8" t="s">
        <v>92</v>
      </c>
      <c r="F25" s="3" t="s">
        <v>93</v>
      </c>
      <c r="G25" s="3" t="s">
        <v>94</v>
      </c>
      <c r="H25" s="6" t="s">
        <v>4</v>
      </c>
      <c r="I25" s="7"/>
      <c r="J25" s="7"/>
      <c r="K25" s="3"/>
      <c r="L25" s="3">
        <v>8.5</v>
      </c>
      <c r="M25" s="3">
        <v>6</v>
      </c>
      <c r="N25" s="3">
        <f t="shared" si="4"/>
        <v>0</v>
      </c>
      <c r="O25" s="3">
        <f t="shared" si="3"/>
        <v>51</v>
      </c>
      <c r="Q25" s="7" t="s">
        <v>95</v>
      </c>
      <c r="R25" s="3"/>
      <c r="S25" s="3"/>
      <c r="T25" s="3"/>
      <c r="U25" s="3"/>
      <c r="V25" s="35"/>
    </row>
    <row r="26" spans="2:22" x14ac:dyDescent="0.25">
      <c r="B26" s="55"/>
      <c r="C26" s="7">
        <v>22</v>
      </c>
      <c r="D26" s="7"/>
      <c r="E26" s="49" t="s">
        <v>346</v>
      </c>
      <c r="F26" s="3"/>
      <c r="G26" s="3"/>
      <c r="H26" s="6"/>
      <c r="I26" s="7"/>
      <c r="J26" s="7"/>
      <c r="K26" s="3"/>
      <c r="L26" s="3"/>
      <c r="M26" s="3"/>
      <c r="N26" s="3"/>
      <c r="O26" s="3"/>
      <c r="Q26" s="7" t="s">
        <v>341</v>
      </c>
      <c r="R26" s="3"/>
      <c r="S26" s="3"/>
      <c r="T26" s="3"/>
      <c r="U26" s="3"/>
      <c r="V26" s="35"/>
    </row>
    <row r="27" spans="2:22" x14ac:dyDescent="0.25">
      <c r="B27" s="55"/>
      <c r="C27" s="7">
        <v>23</v>
      </c>
      <c r="D27" s="7">
        <v>21</v>
      </c>
      <c r="E27" s="49" t="s">
        <v>347</v>
      </c>
      <c r="F27" s="3"/>
      <c r="G27" s="3"/>
      <c r="H27" s="3"/>
      <c r="I27" s="7"/>
      <c r="J27" s="7"/>
      <c r="K27" s="3"/>
      <c r="L27" s="3"/>
      <c r="M27" s="3">
        <v>4</v>
      </c>
      <c r="N27" s="3">
        <f t="shared" si="4"/>
        <v>0</v>
      </c>
      <c r="O27" s="3">
        <f t="shared" si="3"/>
        <v>0</v>
      </c>
      <c r="Q27" s="7" t="s">
        <v>341</v>
      </c>
      <c r="R27" s="3"/>
      <c r="S27" s="3"/>
      <c r="T27" s="3"/>
      <c r="U27" s="3"/>
      <c r="V27" s="35"/>
    </row>
    <row r="28" spans="2:22" x14ac:dyDescent="0.25">
      <c r="B28" s="55"/>
      <c r="C28" s="7">
        <v>24</v>
      </c>
      <c r="D28" s="7">
        <v>22</v>
      </c>
      <c r="E28" s="8" t="s">
        <v>96</v>
      </c>
      <c r="F28" s="3" t="s">
        <v>97</v>
      </c>
      <c r="G28" s="3" t="s">
        <v>98</v>
      </c>
      <c r="H28" s="6" t="s">
        <v>4</v>
      </c>
      <c r="I28" s="7">
        <v>8</v>
      </c>
      <c r="J28" s="7"/>
      <c r="K28" s="3">
        <v>14.69</v>
      </c>
      <c r="L28" s="3">
        <v>17.48</v>
      </c>
      <c r="M28" s="3">
        <v>1</v>
      </c>
      <c r="N28" s="3">
        <f t="shared" si="4"/>
        <v>14.69</v>
      </c>
      <c r="O28" s="3">
        <f t="shared" si="3"/>
        <v>17.48</v>
      </c>
      <c r="Q28" s="7" t="s">
        <v>16</v>
      </c>
      <c r="R28" s="3" t="s">
        <v>99</v>
      </c>
      <c r="S28" s="3" t="s">
        <v>100</v>
      </c>
      <c r="T28" s="3" t="s">
        <v>101</v>
      </c>
      <c r="U28" s="56" t="s">
        <v>102</v>
      </c>
      <c r="V28" s="35" t="s">
        <v>103</v>
      </c>
    </row>
    <row r="29" spans="2:22" x14ac:dyDescent="0.25">
      <c r="B29" s="55"/>
      <c r="C29" s="7">
        <v>25</v>
      </c>
      <c r="D29" s="7">
        <v>23</v>
      </c>
      <c r="E29" s="8" t="s">
        <v>104</v>
      </c>
      <c r="F29" s="3" t="s">
        <v>105</v>
      </c>
      <c r="G29" s="14">
        <v>2903801</v>
      </c>
      <c r="H29" s="6" t="s">
        <v>4</v>
      </c>
      <c r="I29" s="7">
        <v>7</v>
      </c>
      <c r="J29" s="7"/>
      <c r="K29" s="3">
        <v>40.700000000000003</v>
      </c>
      <c r="L29" s="3">
        <v>48.43</v>
      </c>
      <c r="M29" s="3">
        <v>5</v>
      </c>
      <c r="N29" s="3">
        <f t="shared" si="4"/>
        <v>203.5</v>
      </c>
      <c r="O29" s="3">
        <f t="shared" si="3"/>
        <v>242.15</v>
      </c>
      <c r="Q29" s="7" t="s">
        <v>16</v>
      </c>
      <c r="R29" s="3" t="s">
        <v>106</v>
      </c>
      <c r="S29" s="3"/>
      <c r="T29" s="3"/>
      <c r="U29" s="3"/>
      <c r="V29" s="35"/>
    </row>
    <row r="30" spans="2:22" x14ac:dyDescent="0.25">
      <c r="B30" s="55"/>
      <c r="C30" s="7">
        <v>26</v>
      </c>
      <c r="D30" s="7">
        <v>24</v>
      </c>
      <c r="E30" s="8" t="s">
        <v>107</v>
      </c>
      <c r="F30" s="3" t="s">
        <v>108</v>
      </c>
      <c r="G30" s="14">
        <v>2288927</v>
      </c>
      <c r="H30" s="6" t="s">
        <v>4</v>
      </c>
      <c r="I30" s="7">
        <v>7</v>
      </c>
      <c r="J30" s="7"/>
      <c r="K30" s="3">
        <v>32.9</v>
      </c>
      <c r="L30" s="3">
        <v>39.15</v>
      </c>
      <c r="M30" s="3">
        <v>6</v>
      </c>
      <c r="N30" s="3">
        <f t="shared" si="4"/>
        <v>197.39999999999998</v>
      </c>
      <c r="O30" s="3">
        <f t="shared" si="3"/>
        <v>234.89999999999998</v>
      </c>
      <c r="Q30" s="7" t="s">
        <v>16</v>
      </c>
      <c r="R30" s="3" t="s">
        <v>109</v>
      </c>
      <c r="S30" s="3"/>
      <c r="T30" s="3"/>
      <c r="U30" s="3"/>
      <c r="V30" s="35"/>
    </row>
    <row r="31" spans="2:22" x14ac:dyDescent="0.25">
      <c r="B31" s="55"/>
      <c r="C31" s="7">
        <v>27</v>
      </c>
      <c r="D31" s="7">
        <v>25</v>
      </c>
      <c r="E31" s="16" t="s">
        <v>110</v>
      </c>
      <c r="F31" s="3"/>
      <c r="G31" s="14"/>
      <c r="H31" s="3"/>
      <c r="I31" s="7"/>
      <c r="J31" s="7"/>
      <c r="K31" s="3"/>
      <c r="L31" s="3"/>
      <c r="M31" s="3">
        <v>3</v>
      </c>
      <c r="N31" s="3">
        <f t="shared" si="4"/>
        <v>0</v>
      </c>
      <c r="O31" s="3">
        <f t="shared" si="3"/>
        <v>0</v>
      </c>
      <c r="Q31" s="7" t="s">
        <v>112</v>
      </c>
      <c r="R31" s="3"/>
      <c r="S31" s="3"/>
      <c r="T31" s="3"/>
      <c r="U31" s="3"/>
      <c r="V31" s="35"/>
    </row>
    <row r="32" spans="2:22" x14ac:dyDescent="0.25">
      <c r="B32" s="55"/>
      <c r="C32" s="7">
        <v>28</v>
      </c>
      <c r="D32" s="7">
        <v>26</v>
      </c>
      <c r="E32" s="49" t="s">
        <v>348</v>
      </c>
      <c r="F32" s="3"/>
      <c r="G32" s="14"/>
      <c r="H32" s="3"/>
      <c r="I32" s="7"/>
      <c r="J32" s="7"/>
      <c r="K32" s="3"/>
      <c r="L32" s="3"/>
      <c r="M32" s="3">
        <v>3</v>
      </c>
      <c r="N32" s="3">
        <f t="shared" si="4"/>
        <v>0</v>
      </c>
      <c r="O32" s="3">
        <f t="shared" si="3"/>
        <v>0</v>
      </c>
      <c r="Q32" s="7" t="s">
        <v>341</v>
      </c>
      <c r="R32" s="3"/>
      <c r="S32" s="3"/>
      <c r="T32" s="3"/>
      <c r="U32" s="3"/>
      <c r="V32" s="35"/>
    </row>
    <row r="33" spans="2:22" x14ac:dyDescent="0.25">
      <c r="B33" s="55"/>
      <c r="C33" s="7">
        <v>29</v>
      </c>
      <c r="D33" s="7">
        <v>27</v>
      </c>
      <c r="E33" s="49" t="s">
        <v>349</v>
      </c>
      <c r="F33" s="3"/>
      <c r="G33" s="14"/>
      <c r="H33" s="3"/>
      <c r="I33" s="7"/>
      <c r="J33" s="7"/>
      <c r="K33" s="3"/>
      <c r="L33" s="3"/>
      <c r="M33" s="3">
        <v>3</v>
      </c>
      <c r="N33" s="3">
        <f t="shared" si="4"/>
        <v>0</v>
      </c>
      <c r="O33" s="3">
        <f t="shared" si="3"/>
        <v>0</v>
      </c>
      <c r="Q33" s="7" t="s">
        <v>341</v>
      </c>
      <c r="R33" s="3"/>
      <c r="S33" s="3"/>
      <c r="T33" s="3"/>
      <c r="U33" s="3"/>
      <c r="V33" s="35"/>
    </row>
    <row r="34" spans="2:22" ht="15.75" thickBot="1" x14ac:dyDescent="0.3">
      <c r="B34" s="57"/>
      <c r="C34" s="41">
        <v>30</v>
      </c>
      <c r="D34" s="41">
        <v>28</v>
      </c>
      <c r="E34" s="50" t="s">
        <v>350</v>
      </c>
      <c r="F34" s="39"/>
      <c r="G34" s="58"/>
      <c r="H34" s="39"/>
      <c r="I34" s="41"/>
      <c r="J34" s="41"/>
      <c r="K34" s="39"/>
      <c r="L34" s="39"/>
      <c r="M34" s="39">
        <v>3</v>
      </c>
      <c r="N34" s="39">
        <f t="shared" si="4"/>
        <v>0</v>
      </c>
      <c r="O34" s="39">
        <f t="shared" si="3"/>
        <v>0</v>
      </c>
      <c r="P34" s="42"/>
      <c r="Q34" s="41" t="s">
        <v>341</v>
      </c>
      <c r="R34" s="39"/>
      <c r="S34" s="39"/>
      <c r="T34" s="39"/>
      <c r="U34" s="39"/>
      <c r="V34" s="43"/>
    </row>
    <row r="35" spans="2:22" ht="15.75" thickBot="1" x14ac:dyDescent="0.3">
      <c r="I35" s="45"/>
      <c r="J35" s="46"/>
    </row>
    <row r="36" spans="2:22" x14ac:dyDescent="0.25">
      <c r="B36" s="59" t="s">
        <v>351</v>
      </c>
      <c r="C36" s="26">
        <v>31</v>
      </c>
      <c r="D36" s="30">
        <v>35</v>
      </c>
      <c r="E36" s="27" t="s">
        <v>113</v>
      </c>
      <c r="F36" s="28" t="s">
        <v>114</v>
      </c>
      <c r="G36" s="53" t="s">
        <v>115</v>
      </c>
      <c r="H36" s="29" t="s">
        <v>4</v>
      </c>
      <c r="I36" s="30">
        <v>3</v>
      </c>
      <c r="J36" s="30"/>
      <c r="K36" s="28">
        <v>38</v>
      </c>
      <c r="L36" s="28">
        <v>45.22</v>
      </c>
      <c r="M36" s="28">
        <v>1</v>
      </c>
      <c r="N36" s="28">
        <f t="shared" si="4"/>
        <v>38</v>
      </c>
      <c r="O36" s="28">
        <f t="shared" si="3"/>
        <v>45.22</v>
      </c>
      <c r="P36" s="28"/>
      <c r="Q36" s="30" t="s">
        <v>16</v>
      </c>
      <c r="R36" s="28" t="s">
        <v>116</v>
      </c>
      <c r="S36" s="28" t="s">
        <v>117</v>
      </c>
      <c r="T36" s="28" t="s">
        <v>118</v>
      </c>
      <c r="U36" s="28" t="s">
        <v>119</v>
      </c>
      <c r="V36" s="33"/>
    </row>
    <row r="37" spans="2:22" x14ac:dyDescent="0.25">
      <c r="B37" s="60"/>
      <c r="C37" s="5">
        <v>32</v>
      </c>
      <c r="D37" s="7">
        <v>36</v>
      </c>
      <c r="E37" s="8" t="s">
        <v>120</v>
      </c>
      <c r="F37" s="3" t="s">
        <v>121</v>
      </c>
      <c r="G37" s="3" t="s">
        <v>122</v>
      </c>
      <c r="H37" s="6" t="s">
        <v>4</v>
      </c>
      <c r="I37" s="7">
        <v>3</v>
      </c>
      <c r="J37" s="7"/>
      <c r="K37" s="3">
        <v>30.4</v>
      </c>
      <c r="L37" s="3">
        <v>36.18</v>
      </c>
      <c r="M37" s="3">
        <v>2</v>
      </c>
      <c r="N37" s="3">
        <f t="shared" si="4"/>
        <v>60.8</v>
      </c>
      <c r="O37" s="3">
        <f t="shared" si="3"/>
        <v>72.36</v>
      </c>
      <c r="P37" s="3"/>
      <c r="Q37" s="7" t="s">
        <v>16</v>
      </c>
      <c r="R37" s="3" t="s">
        <v>123</v>
      </c>
      <c r="S37" s="3" t="s">
        <v>124</v>
      </c>
      <c r="T37" s="3" t="s">
        <v>125</v>
      </c>
      <c r="U37" s="3" t="s">
        <v>126</v>
      </c>
      <c r="V37" s="35"/>
    </row>
    <row r="38" spans="2:22" x14ac:dyDescent="0.25">
      <c r="B38" s="60"/>
      <c r="C38" s="5">
        <v>33</v>
      </c>
      <c r="D38" s="7">
        <v>37</v>
      </c>
      <c r="E38" s="8" t="s">
        <v>127</v>
      </c>
      <c r="F38" s="3" t="s">
        <v>128</v>
      </c>
      <c r="G38" s="3" t="s">
        <v>129</v>
      </c>
      <c r="H38" s="6" t="s">
        <v>4</v>
      </c>
      <c r="I38" s="7">
        <v>3</v>
      </c>
      <c r="J38" s="7"/>
      <c r="K38" s="3">
        <v>5</v>
      </c>
      <c r="L38" s="3">
        <v>5.95</v>
      </c>
      <c r="M38" s="3">
        <v>2</v>
      </c>
      <c r="N38" s="3">
        <f t="shared" si="4"/>
        <v>10</v>
      </c>
      <c r="O38" s="3">
        <f t="shared" si="3"/>
        <v>11.9</v>
      </c>
      <c r="P38" s="3"/>
      <c r="Q38" s="7" t="s">
        <v>16</v>
      </c>
      <c r="R38" s="3" t="s">
        <v>130</v>
      </c>
      <c r="S38" s="3"/>
      <c r="T38" s="3"/>
      <c r="U38" s="3"/>
      <c r="V38" s="35"/>
    </row>
    <row r="39" spans="2:22" x14ac:dyDescent="0.25">
      <c r="B39" s="60"/>
      <c r="C39" s="5">
        <v>34</v>
      </c>
      <c r="D39" s="7">
        <v>38</v>
      </c>
      <c r="E39" s="8" t="s">
        <v>131</v>
      </c>
      <c r="F39" s="3" t="s">
        <v>132</v>
      </c>
      <c r="G39" s="3" t="s">
        <v>133</v>
      </c>
      <c r="H39" s="6" t="s">
        <v>4</v>
      </c>
      <c r="I39" s="7">
        <v>3</v>
      </c>
      <c r="J39" s="7"/>
      <c r="K39" s="3">
        <v>14.8</v>
      </c>
      <c r="L39" s="3">
        <v>17.61</v>
      </c>
      <c r="M39" s="3">
        <v>2</v>
      </c>
      <c r="N39" s="3">
        <f t="shared" si="4"/>
        <v>29.6</v>
      </c>
      <c r="O39" s="3">
        <f t="shared" si="3"/>
        <v>35.22</v>
      </c>
      <c r="P39" s="3"/>
      <c r="Q39" s="7" t="s">
        <v>16</v>
      </c>
      <c r="R39" s="3" t="s">
        <v>134</v>
      </c>
      <c r="S39" s="3" t="s">
        <v>135</v>
      </c>
      <c r="T39" s="3" t="s">
        <v>136</v>
      </c>
      <c r="U39" s="3"/>
      <c r="V39" s="35"/>
    </row>
    <row r="40" spans="2:22" x14ac:dyDescent="0.25">
      <c r="B40" s="60"/>
      <c r="C40" s="5">
        <v>35</v>
      </c>
      <c r="D40" s="7">
        <v>39</v>
      </c>
      <c r="E40" s="8" t="s">
        <v>137</v>
      </c>
      <c r="F40" s="3" t="s">
        <v>138</v>
      </c>
      <c r="G40" s="3" t="s">
        <v>139</v>
      </c>
      <c r="H40" s="6" t="s">
        <v>4</v>
      </c>
      <c r="I40" s="7">
        <v>3</v>
      </c>
      <c r="J40" s="7"/>
      <c r="K40" s="3">
        <v>2.1</v>
      </c>
      <c r="L40" s="3">
        <v>2.5</v>
      </c>
      <c r="M40" s="3">
        <v>5</v>
      </c>
      <c r="N40" s="3">
        <f t="shared" si="4"/>
        <v>10.5</v>
      </c>
      <c r="O40" s="3">
        <f t="shared" si="3"/>
        <v>12.5</v>
      </c>
      <c r="P40" s="3"/>
      <c r="Q40" s="7" t="s">
        <v>16</v>
      </c>
      <c r="R40" s="3" t="s">
        <v>140</v>
      </c>
      <c r="S40" s="3" t="s">
        <v>141</v>
      </c>
      <c r="T40" s="3" t="s">
        <v>142</v>
      </c>
      <c r="U40" s="3"/>
      <c r="V40" s="35"/>
    </row>
    <row r="41" spans="2:22" x14ac:dyDescent="0.25">
      <c r="B41" s="60"/>
      <c r="C41" s="5">
        <v>36</v>
      </c>
      <c r="D41" s="7">
        <v>40</v>
      </c>
      <c r="E41" s="8" t="s">
        <v>175</v>
      </c>
      <c r="F41" s="3" t="s">
        <v>176</v>
      </c>
      <c r="G41" s="3" t="s">
        <v>177</v>
      </c>
      <c r="H41" s="6" t="s">
        <v>4</v>
      </c>
      <c r="I41" s="7">
        <v>4</v>
      </c>
      <c r="J41" s="7"/>
      <c r="K41" s="3">
        <v>63.6</v>
      </c>
      <c r="L41" s="3">
        <v>75.680000000000007</v>
      </c>
      <c r="M41" s="3">
        <v>1</v>
      </c>
      <c r="N41" s="3">
        <f t="shared" si="4"/>
        <v>63.6</v>
      </c>
      <c r="O41" s="3">
        <f t="shared" si="3"/>
        <v>75.680000000000007</v>
      </c>
      <c r="P41" s="3"/>
      <c r="Q41" s="7" t="s">
        <v>16</v>
      </c>
      <c r="R41" s="3" t="s">
        <v>352</v>
      </c>
      <c r="S41" s="3" t="s">
        <v>353</v>
      </c>
      <c r="T41" s="3" t="s">
        <v>354</v>
      </c>
      <c r="U41" s="3" t="s">
        <v>355</v>
      </c>
      <c r="V41" s="35"/>
    </row>
    <row r="42" spans="2:22" x14ac:dyDescent="0.25">
      <c r="B42" s="60"/>
      <c r="C42" s="5">
        <v>37</v>
      </c>
      <c r="D42" s="7">
        <v>41</v>
      </c>
      <c r="E42" s="8" t="s">
        <v>143</v>
      </c>
      <c r="F42" s="3" t="s">
        <v>144</v>
      </c>
      <c r="G42" s="3" t="s">
        <v>145</v>
      </c>
      <c r="H42" s="6" t="s">
        <v>4</v>
      </c>
      <c r="I42" s="7">
        <v>3</v>
      </c>
      <c r="J42" s="7"/>
      <c r="K42" s="3">
        <v>2.2999999999999998</v>
      </c>
      <c r="L42" s="3">
        <v>2.74</v>
      </c>
      <c r="M42" s="3">
        <v>2</v>
      </c>
      <c r="N42" s="3">
        <f t="shared" si="4"/>
        <v>4.5999999999999996</v>
      </c>
      <c r="O42" s="3">
        <f t="shared" si="3"/>
        <v>5.48</v>
      </c>
      <c r="P42" s="3"/>
      <c r="Q42" s="7" t="s">
        <v>16</v>
      </c>
      <c r="R42" s="3" t="s">
        <v>118</v>
      </c>
      <c r="S42" s="3" t="s">
        <v>146</v>
      </c>
      <c r="T42" s="3" t="s">
        <v>147</v>
      </c>
      <c r="U42" s="3"/>
      <c r="V42" s="35"/>
    </row>
    <row r="43" spans="2:22" x14ac:dyDescent="0.25">
      <c r="B43" s="60"/>
      <c r="C43" s="5">
        <v>38</v>
      </c>
      <c r="D43" s="7">
        <v>42</v>
      </c>
      <c r="E43" s="8" t="s">
        <v>148</v>
      </c>
      <c r="F43" s="3" t="s">
        <v>149</v>
      </c>
      <c r="G43" s="3" t="s">
        <v>150</v>
      </c>
      <c r="H43" s="6" t="s">
        <v>4</v>
      </c>
      <c r="I43" s="7">
        <v>3</v>
      </c>
      <c r="J43" s="7"/>
      <c r="K43" s="3">
        <v>0.7</v>
      </c>
      <c r="L43" s="3">
        <v>0.83</v>
      </c>
      <c r="M43" s="3">
        <v>50</v>
      </c>
      <c r="N43" s="3">
        <f t="shared" si="4"/>
        <v>35</v>
      </c>
      <c r="O43" s="3">
        <f t="shared" si="3"/>
        <v>41.5</v>
      </c>
      <c r="P43" s="3"/>
      <c r="Q43" s="7" t="s">
        <v>16</v>
      </c>
      <c r="R43" s="3" t="s">
        <v>151</v>
      </c>
      <c r="S43" s="3" t="s">
        <v>152</v>
      </c>
      <c r="T43" s="3" t="s">
        <v>153</v>
      </c>
      <c r="U43" s="3"/>
      <c r="V43" s="35"/>
    </row>
    <row r="44" spans="2:22" x14ac:dyDescent="0.25">
      <c r="B44" s="61"/>
      <c r="C44" s="62">
        <v>39</v>
      </c>
      <c r="D44" s="63"/>
      <c r="E44" s="64" t="s">
        <v>154</v>
      </c>
      <c r="F44" s="65" t="s">
        <v>155</v>
      </c>
      <c r="G44" s="65" t="s">
        <v>156</v>
      </c>
      <c r="H44" s="66" t="s">
        <v>4</v>
      </c>
      <c r="I44" s="63"/>
      <c r="J44" s="63"/>
      <c r="K44" s="65"/>
      <c r="L44" s="65">
        <v>11.25</v>
      </c>
      <c r="M44" s="65">
        <v>1</v>
      </c>
      <c r="N44" s="65"/>
      <c r="O44" s="65">
        <f t="shared" si="3"/>
        <v>11.25</v>
      </c>
      <c r="P44" s="65"/>
      <c r="Q44" s="63" t="s">
        <v>157</v>
      </c>
      <c r="R44" s="65"/>
      <c r="S44" s="65"/>
      <c r="T44" s="65"/>
      <c r="U44" s="65"/>
      <c r="V44" s="67"/>
    </row>
    <row r="45" spans="2:22" ht="15.75" thickBot="1" x14ac:dyDescent="0.3">
      <c r="B45" s="68"/>
      <c r="C45" s="37">
        <v>40</v>
      </c>
      <c r="D45" s="41">
        <v>43</v>
      </c>
      <c r="E45" s="38" t="s">
        <v>158</v>
      </c>
      <c r="F45" s="39" t="s">
        <v>159</v>
      </c>
      <c r="G45" s="39" t="s">
        <v>160</v>
      </c>
      <c r="H45" s="40" t="s">
        <v>4</v>
      </c>
      <c r="I45" s="41"/>
      <c r="J45" s="41"/>
      <c r="K45" s="39">
        <v>14.29</v>
      </c>
      <c r="L45" s="39">
        <v>17</v>
      </c>
      <c r="M45" s="39">
        <v>1</v>
      </c>
      <c r="N45" s="39">
        <f t="shared" si="4"/>
        <v>14.29</v>
      </c>
      <c r="O45" s="39">
        <f t="shared" si="3"/>
        <v>17</v>
      </c>
      <c r="P45" s="39"/>
      <c r="Q45" s="41" t="s">
        <v>91</v>
      </c>
      <c r="R45" s="39"/>
      <c r="S45" s="39"/>
      <c r="T45" s="39"/>
      <c r="U45" s="39"/>
      <c r="V45" s="43"/>
    </row>
    <row r="46" spans="2:22" ht="15.75" thickBot="1" x14ac:dyDescent="0.3">
      <c r="I46" s="45"/>
      <c r="J46" s="46"/>
    </row>
    <row r="47" spans="2:22" x14ac:dyDescent="0.25">
      <c r="B47" s="25" t="s">
        <v>356</v>
      </c>
      <c r="C47" s="26">
        <v>41</v>
      </c>
      <c r="D47" s="30">
        <v>50</v>
      </c>
      <c r="E47" s="27" t="s">
        <v>161</v>
      </c>
      <c r="F47" s="28" t="s">
        <v>162</v>
      </c>
      <c r="G47" s="28" t="s">
        <v>163</v>
      </c>
      <c r="H47" s="29" t="s">
        <v>4</v>
      </c>
      <c r="I47" s="30">
        <v>4</v>
      </c>
      <c r="J47" s="30"/>
      <c r="K47" s="28">
        <v>92</v>
      </c>
      <c r="L47" s="28">
        <v>109.48</v>
      </c>
      <c r="M47" s="28">
        <v>1</v>
      </c>
      <c r="N47" s="28">
        <f t="shared" si="4"/>
        <v>92</v>
      </c>
      <c r="O47" s="28">
        <f t="shared" si="3"/>
        <v>109.48</v>
      </c>
      <c r="P47" s="28"/>
      <c r="Q47" s="30" t="s">
        <v>16</v>
      </c>
      <c r="R47" s="28" t="s">
        <v>164</v>
      </c>
      <c r="S47" s="28" t="s">
        <v>125</v>
      </c>
      <c r="T47" s="28" t="s">
        <v>165</v>
      </c>
      <c r="U47" s="28" t="s">
        <v>166</v>
      </c>
      <c r="V47" s="33" t="s">
        <v>167</v>
      </c>
    </row>
    <row r="48" spans="2:22" x14ac:dyDescent="0.25">
      <c r="B48" s="34"/>
      <c r="C48" s="5">
        <v>42</v>
      </c>
      <c r="D48" s="7">
        <v>51</v>
      </c>
      <c r="E48" s="8" t="s">
        <v>168</v>
      </c>
      <c r="F48" s="3" t="s">
        <v>114</v>
      </c>
      <c r="G48" s="3" t="s">
        <v>169</v>
      </c>
      <c r="H48" s="6" t="s">
        <v>4</v>
      </c>
      <c r="I48" s="7">
        <v>13</v>
      </c>
      <c r="J48" s="7"/>
      <c r="K48" s="3">
        <v>113.2</v>
      </c>
      <c r="L48" s="3">
        <v>134.71</v>
      </c>
      <c r="M48" s="3">
        <v>2</v>
      </c>
      <c r="N48" s="3">
        <f t="shared" si="4"/>
        <v>226.4</v>
      </c>
      <c r="O48" s="3">
        <f t="shared" si="3"/>
        <v>269.42</v>
      </c>
      <c r="P48" s="3"/>
      <c r="Q48" s="7" t="s">
        <v>16</v>
      </c>
      <c r="R48" s="3"/>
      <c r="S48" s="3"/>
      <c r="T48" s="3"/>
      <c r="U48" s="3"/>
      <c r="V48" s="35"/>
    </row>
    <row r="49" spans="2:22" x14ac:dyDescent="0.25">
      <c r="B49" s="34"/>
      <c r="C49" s="5">
        <v>43</v>
      </c>
      <c r="D49" s="7">
        <v>52</v>
      </c>
      <c r="E49" s="8" t="s">
        <v>171</v>
      </c>
      <c r="F49" s="3" t="s">
        <v>172</v>
      </c>
      <c r="G49" s="3" t="s">
        <v>173</v>
      </c>
      <c r="H49" s="6" t="s">
        <v>4</v>
      </c>
      <c r="I49" s="7"/>
      <c r="J49" s="7"/>
      <c r="K49" s="3"/>
      <c r="L49" s="3">
        <v>49.72</v>
      </c>
      <c r="M49" s="3">
        <v>3</v>
      </c>
      <c r="N49" s="3"/>
      <c r="O49" s="3">
        <f t="shared" si="3"/>
        <v>149.16</v>
      </c>
      <c r="P49" s="3"/>
      <c r="Q49" s="7" t="s">
        <v>174</v>
      </c>
      <c r="R49" s="3"/>
      <c r="S49" s="3"/>
      <c r="T49" s="3"/>
      <c r="U49" s="3"/>
      <c r="V49" s="35"/>
    </row>
    <row r="50" spans="2:22" x14ac:dyDescent="0.25">
      <c r="B50" s="34"/>
      <c r="C50" s="5">
        <v>44</v>
      </c>
      <c r="D50" s="7">
        <v>53</v>
      </c>
      <c r="E50" s="8" t="s">
        <v>131</v>
      </c>
      <c r="F50" s="3" t="s">
        <v>132</v>
      </c>
      <c r="G50" s="3" t="s">
        <v>133</v>
      </c>
      <c r="H50" s="6" t="s">
        <v>4</v>
      </c>
      <c r="I50" s="7">
        <v>3</v>
      </c>
      <c r="J50" s="7"/>
      <c r="K50" s="3">
        <v>14.8</v>
      </c>
      <c r="L50" s="3">
        <v>17.61</v>
      </c>
      <c r="M50" s="3">
        <v>4</v>
      </c>
      <c r="N50" s="3">
        <f t="shared" ref="N50:N53" si="5">K50*M50</f>
        <v>59.2</v>
      </c>
      <c r="O50" s="3">
        <f t="shared" si="3"/>
        <v>70.44</v>
      </c>
      <c r="P50" s="3"/>
      <c r="Q50" s="7" t="s">
        <v>16</v>
      </c>
      <c r="R50" s="3"/>
      <c r="S50" s="3"/>
      <c r="T50" s="3"/>
      <c r="U50" s="3"/>
      <c r="V50" s="35"/>
    </row>
    <row r="51" spans="2:22" x14ac:dyDescent="0.25">
      <c r="B51" s="34"/>
      <c r="C51" s="5">
        <v>45</v>
      </c>
      <c r="D51" s="7">
        <v>54</v>
      </c>
      <c r="E51" s="8" t="s">
        <v>137</v>
      </c>
      <c r="F51" s="3" t="s">
        <v>138</v>
      </c>
      <c r="G51" s="3" t="s">
        <v>139</v>
      </c>
      <c r="H51" s="6" t="s">
        <v>4</v>
      </c>
      <c r="I51" s="7">
        <v>3</v>
      </c>
      <c r="J51" s="7"/>
      <c r="K51" s="3">
        <v>2.1</v>
      </c>
      <c r="L51" s="3">
        <v>2.5</v>
      </c>
      <c r="M51" s="3">
        <v>13</v>
      </c>
      <c r="N51" s="3">
        <f t="shared" si="5"/>
        <v>27.3</v>
      </c>
      <c r="O51" s="3">
        <f t="shared" si="3"/>
        <v>32.5</v>
      </c>
      <c r="P51" s="3"/>
      <c r="Q51" s="7" t="s">
        <v>16</v>
      </c>
      <c r="R51" s="3"/>
      <c r="S51" s="3"/>
      <c r="T51" s="3"/>
      <c r="U51" s="3"/>
      <c r="V51" s="35"/>
    </row>
    <row r="52" spans="2:22" x14ac:dyDescent="0.25">
      <c r="B52" s="34"/>
      <c r="C52" s="5">
        <v>46</v>
      </c>
      <c r="D52" s="7">
        <v>55</v>
      </c>
      <c r="E52" s="8" t="s">
        <v>335</v>
      </c>
      <c r="F52" s="3" t="s">
        <v>176</v>
      </c>
      <c r="G52" s="3" t="s">
        <v>336</v>
      </c>
      <c r="H52" s="6" t="s">
        <v>4</v>
      </c>
      <c r="I52" s="7">
        <v>4</v>
      </c>
      <c r="J52" s="7"/>
      <c r="K52" s="3">
        <v>6.72</v>
      </c>
      <c r="L52" s="3">
        <v>8</v>
      </c>
      <c r="M52" s="3">
        <v>2</v>
      </c>
      <c r="N52" s="3">
        <f t="shared" si="5"/>
        <v>13.44</v>
      </c>
      <c r="O52" s="3">
        <f t="shared" si="3"/>
        <v>16</v>
      </c>
      <c r="P52" s="3"/>
      <c r="Q52" s="7" t="s">
        <v>157</v>
      </c>
      <c r="R52" s="3"/>
      <c r="S52" s="3"/>
      <c r="T52" s="3"/>
      <c r="U52" s="3"/>
      <c r="V52" s="35"/>
    </row>
    <row r="53" spans="2:22" x14ac:dyDescent="0.25">
      <c r="B53" s="34"/>
      <c r="C53" s="5">
        <v>47</v>
      </c>
      <c r="D53" s="7">
        <v>56</v>
      </c>
      <c r="E53" s="8" t="s">
        <v>143</v>
      </c>
      <c r="F53" s="3" t="s">
        <v>144</v>
      </c>
      <c r="G53" s="3" t="s">
        <v>145</v>
      </c>
      <c r="H53" s="6" t="s">
        <v>4</v>
      </c>
      <c r="I53" s="7">
        <v>3</v>
      </c>
      <c r="J53" s="7"/>
      <c r="K53" s="3">
        <v>2.2999999999999998</v>
      </c>
      <c r="L53" s="3">
        <v>2.74</v>
      </c>
      <c r="M53" s="3">
        <v>6</v>
      </c>
      <c r="N53" s="3">
        <f t="shared" si="5"/>
        <v>13.799999999999999</v>
      </c>
      <c r="O53" s="3">
        <f t="shared" si="3"/>
        <v>16.440000000000001</v>
      </c>
      <c r="P53" s="3"/>
      <c r="Q53" s="7" t="s">
        <v>16</v>
      </c>
      <c r="R53" s="3"/>
      <c r="S53" s="3"/>
      <c r="T53" s="3"/>
      <c r="U53" s="3"/>
      <c r="V53" s="35"/>
    </row>
    <row r="54" spans="2:22" x14ac:dyDescent="0.25">
      <c r="B54" s="34"/>
      <c r="C54" s="5">
        <v>48</v>
      </c>
      <c r="D54" s="7">
        <v>57</v>
      </c>
      <c r="E54" s="8" t="s">
        <v>178</v>
      </c>
      <c r="F54" s="3" t="s">
        <v>179</v>
      </c>
      <c r="G54" s="3" t="s">
        <v>180</v>
      </c>
      <c r="H54" s="6" t="s">
        <v>4</v>
      </c>
      <c r="I54" s="7"/>
      <c r="J54" s="7"/>
      <c r="K54" s="3"/>
      <c r="L54" s="3">
        <v>67.78</v>
      </c>
      <c r="M54" s="3">
        <v>1</v>
      </c>
      <c r="N54" s="3"/>
      <c r="O54" s="3">
        <f t="shared" si="3"/>
        <v>67.78</v>
      </c>
      <c r="P54" s="3"/>
      <c r="Q54" s="7" t="s">
        <v>174</v>
      </c>
      <c r="R54" s="3"/>
      <c r="S54" s="3"/>
      <c r="T54" s="3"/>
      <c r="U54" s="3"/>
      <c r="V54" s="35"/>
    </row>
    <row r="55" spans="2:22" x14ac:dyDescent="0.25">
      <c r="B55" s="34"/>
      <c r="C55" s="5">
        <v>49</v>
      </c>
      <c r="D55" s="7">
        <v>58</v>
      </c>
      <c r="E55" s="8" t="s">
        <v>181</v>
      </c>
      <c r="F55" s="3" t="s">
        <v>182</v>
      </c>
      <c r="G55" s="3" t="s">
        <v>183</v>
      </c>
      <c r="H55" s="6" t="s">
        <v>4</v>
      </c>
      <c r="I55" s="7"/>
      <c r="J55" s="7"/>
      <c r="K55" s="3"/>
      <c r="L55" s="3">
        <v>82.35</v>
      </c>
      <c r="M55" s="3">
        <v>1</v>
      </c>
      <c r="N55" s="3"/>
      <c r="O55" s="3">
        <f t="shared" si="3"/>
        <v>82.35</v>
      </c>
      <c r="P55" s="3"/>
      <c r="Q55" s="7" t="s">
        <v>174</v>
      </c>
      <c r="R55" s="3"/>
      <c r="S55" s="3"/>
      <c r="T55" s="3"/>
      <c r="U55" s="3"/>
      <c r="V55" s="35"/>
    </row>
    <row r="56" spans="2:22" x14ac:dyDescent="0.25">
      <c r="B56" s="34"/>
      <c r="C56" s="5">
        <v>50</v>
      </c>
      <c r="D56" s="7">
        <v>59</v>
      </c>
      <c r="E56" s="8" t="s">
        <v>184</v>
      </c>
      <c r="F56" s="3" t="s">
        <v>185</v>
      </c>
      <c r="G56" s="3" t="s">
        <v>186</v>
      </c>
      <c r="H56" s="6" t="s">
        <v>4</v>
      </c>
      <c r="I56" s="7"/>
      <c r="J56" s="7"/>
      <c r="K56" s="3"/>
      <c r="L56" s="3">
        <v>33.33</v>
      </c>
      <c r="M56" s="3">
        <v>1</v>
      </c>
      <c r="N56" s="3"/>
      <c r="O56" s="3">
        <f t="shared" si="3"/>
        <v>33.33</v>
      </c>
      <c r="P56" s="3"/>
      <c r="Q56" s="7" t="s">
        <v>174</v>
      </c>
      <c r="R56" s="3"/>
      <c r="S56" s="3"/>
      <c r="T56" s="3"/>
      <c r="U56" s="3"/>
      <c r="V56" s="35"/>
    </row>
    <row r="57" spans="2:22" x14ac:dyDescent="0.25">
      <c r="B57" s="34"/>
      <c r="C57" s="5">
        <v>51</v>
      </c>
      <c r="D57" s="7">
        <v>60</v>
      </c>
      <c r="E57" s="8" t="s">
        <v>187</v>
      </c>
      <c r="F57" s="3" t="s">
        <v>188</v>
      </c>
      <c r="G57" s="3" t="s">
        <v>189</v>
      </c>
      <c r="H57" s="6" t="s">
        <v>4</v>
      </c>
      <c r="I57" s="7"/>
      <c r="J57" s="7"/>
      <c r="K57" s="3"/>
      <c r="L57" s="3">
        <v>62.86</v>
      </c>
      <c r="M57" s="3">
        <v>1</v>
      </c>
      <c r="N57" s="3"/>
      <c r="O57" s="3">
        <f t="shared" si="3"/>
        <v>62.86</v>
      </c>
      <c r="P57" s="3"/>
      <c r="Q57" s="7" t="s">
        <v>174</v>
      </c>
      <c r="R57" s="3"/>
      <c r="S57" s="3"/>
      <c r="T57" s="3"/>
      <c r="U57" s="3"/>
      <c r="V57" s="35"/>
    </row>
    <row r="58" spans="2:22" x14ac:dyDescent="0.25">
      <c r="B58" s="34"/>
      <c r="C58" s="5">
        <v>52</v>
      </c>
      <c r="D58" s="7">
        <v>61</v>
      </c>
      <c r="E58" s="8" t="s">
        <v>190</v>
      </c>
      <c r="F58" s="3" t="s">
        <v>191</v>
      </c>
      <c r="G58" s="3" t="s">
        <v>192</v>
      </c>
      <c r="H58" s="6" t="s">
        <v>4</v>
      </c>
      <c r="I58" s="7"/>
      <c r="J58" s="7"/>
      <c r="K58" s="3"/>
      <c r="L58" s="3">
        <v>28.54</v>
      </c>
      <c r="M58" s="3">
        <v>1</v>
      </c>
      <c r="N58" s="3"/>
      <c r="O58" s="3">
        <f t="shared" si="3"/>
        <v>28.54</v>
      </c>
      <c r="P58" s="3"/>
      <c r="Q58" s="7" t="s">
        <v>174</v>
      </c>
      <c r="R58" s="3"/>
      <c r="S58" s="3"/>
      <c r="T58" s="3"/>
      <c r="U58" s="3"/>
      <c r="V58" s="35"/>
    </row>
    <row r="59" spans="2:22" x14ac:dyDescent="0.25">
      <c r="B59" s="34"/>
      <c r="C59" s="5">
        <v>53</v>
      </c>
      <c r="D59" s="7">
        <v>62</v>
      </c>
      <c r="E59" s="8" t="s">
        <v>193</v>
      </c>
      <c r="F59" s="3" t="s">
        <v>194</v>
      </c>
      <c r="G59" s="3" t="s">
        <v>195</v>
      </c>
      <c r="H59" s="6" t="s">
        <v>4</v>
      </c>
      <c r="I59" s="7"/>
      <c r="J59" s="7"/>
      <c r="K59" s="3"/>
      <c r="L59" s="3">
        <v>4.22</v>
      </c>
      <c r="M59" s="3">
        <v>2</v>
      </c>
      <c r="N59" s="3"/>
      <c r="O59" s="3">
        <f t="shared" si="3"/>
        <v>8.44</v>
      </c>
      <c r="P59" s="3"/>
      <c r="Q59" s="7" t="s">
        <v>174</v>
      </c>
      <c r="R59" s="3"/>
      <c r="S59" s="3"/>
      <c r="T59" s="3"/>
      <c r="U59" s="3"/>
      <c r="V59" s="35"/>
    </row>
    <row r="60" spans="2:22" x14ac:dyDescent="0.25">
      <c r="B60" s="34"/>
      <c r="C60" s="5">
        <v>54</v>
      </c>
      <c r="D60" s="7">
        <v>63</v>
      </c>
      <c r="E60" s="8" t="s">
        <v>196</v>
      </c>
      <c r="F60" s="3" t="s">
        <v>197</v>
      </c>
      <c r="G60" s="3" t="s">
        <v>198</v>
      </c>
      <c r="H60" s="6" t="s">
        <v>4</v>
      </c>
      <c r="I60" s="7"/>
      <c r="J60" s="7"/>
      <c r="K60" s="3"/>
      <c r="L60" s="3">
        <v>2.58</v>
      </c>
      <c r="M60" s="3">
        <v>4</v>
      </c>
      <c r="N60" s="3"/>
      <c r="O60" s="3">
        <f t="shared" si="3"/>
        <v>10.32</v>
      </c>
      <c r="P60" s="3"/>
      <c r="Q60" s="7" t="s">
        <v>174</v>
      </c>
      <c r="R60" s="3"/>
      <c r="S60" s="3"/>
      <c r="T60" s="3"/>
      <c r="U60" s="3"/>
      <c r="V60" s="35"/>
    </row>
    <row r="61" spans="2:22" x14ac:dyDescent="0.25">
      <c r="B61" s="34"/>
      <c r="C61" s="5">
        <v>55</v>
      </c>
      <c r="D61" s="7">
        <v>64</v>
      </c>
      <c r="E61" s="8" t="s">
        <v>148</v>
      </c>
      <c r="F61" s="3" t="s">
        <v>199</v>
      </c>
      <c r="G61" s="3" t="s">
        <v>200</v>
      </c>
      <c r="H61" s="6" t="s">
        <v>4</v>
      </c>
      <c r="I61" s="7"/>
      <c r="J61" s="7"/>
      <c r="K61" s="3">
        <v>0.7</v>
      </c>
      <c r="L61" s="3">
        <v>0.83</v>
      </c>
      <c r="M61" s="3">
        <v>50</v>
      </c>
      <c r="N61" s="3">
        <f t="shared" ref="N61:N64" si="6">K61*M61</f>
        <v>35</v>
      </c>
      <c r="O61" s="3">
        <f t="shared" si="3"/>
        <v>41.5</v>
      </c>
      <c r="P61" s="3"/>
      <c r="Q61" s="7" t="s">
        <v>16</v>
      </c>
      <c r="R61" s="3"/>
      <c r="S61" s="3"/>
      <c r="T61" s="3"/>
      <c r="U61" s="3"/>
      <c r="V61" s="35"/>
    </row>
    <row r="62" spans="2:22" x14ac:dyDescent="0.25">
      <c r="B62" s="34"/>
      <c r="C62" s="5">
        <v>56</v>
      </c>
      <c r="D62" s="7">
        <v>65</v>
      </c>
      <c r="E62" s="8" t="s">
        <v>148</v>
      </c>
      <c r="F62" s="3" t="s">
        <v>201</v>
      </c>
      <c r="G62" s="3" t="s">
        <v>202</v>
      </c>
      <c r="H62" s="6" t="s">
        <v>4</v>
      </c>
      <c r="I62" s="7"/>
      <c r="J62" s="7"/>
      <c r="K62" s="3">
        <v>0.7</v>
      </c>
      <c r="L62" s="3">
        <v>0.83</v>
      </c>
      <c r="M62" s="3">
        <v>50</v>
      </c>
      <c r="N62" s="3">
        <f t="shared" si="6"/>
        <v>35</v>
      </c>
      <c r="O62" s="3">
        <f t="shared" si="3"/>
        <v>41.5</v>
      </c>
      <c r="P62" s="3"/>
      <c r="Q62" s="7" t="s">
        <v>16</v>
      </c>
      <c r="R62" s="3"/>
      <c r="S62" s="3"/>
      <c r="T62" s="3"/>
      <c r="U62" s="3"/>
      <c r="V62" s="35"/>
    </row>
    <row r="63" spans="2:22" x14ac:dyDescent="0.25">
      <c r="B63" s="34"/>
      <c r="C63" s="5">
        <v>57</v>
      </c>
      <c r="D63" s="7">
        <v>66</v>
      </c>
      <c r="E63" s="8" t="s">
        <v>203</v>
      </c>
      <c r="F63" s="3" t="s">
        <v>204</v>
      </c>
      <c r="G63" s="3" t="s">
        <v>205</v>
      </c>
      <c r="H63" s="6" t="s">
        <v>4</v>
      </c>
      <c r="I63" s="7"/>
      <c r="J63" s="7"/>
      <c r="K63" s="3">
        <v>84.1</v>
      </c>
      <c r="L63" s="3">
        <v>100.08</v>
      </c>
      <c r="M63" s="3">
        <v>1</v>
      </c>
      <c r="N63" s="3">
        <f t="shared" si="6"/>
        <v>84.1</v>
      </c>
      <c r="O63" s="3">
        <f t="shared" si="3"/>
        <v>100.08</v>
      </c>
      <c r="P63" s="3"/>
      <c r="Q63" s="7" t="s">
        <v>16</v>
      </c>
      <c r="R63" s="3"/>
      <c r="S63" s="3"/>
      <c r="T63" s="3"/>
      <c r="U63" s="3"/>
      <c r="V63" s="35"/>
    </row>
    <row r="64" spans="2:22" x14ac:dyDescent="0.25">
      <c r="B64" s="34"/>
      <c r="C64" s="5">
        <v>58</v>
      </c>
      <c r="D64" s="7">
        <v>67</v>
      </c>
      <c r="E64" s="8" t="s">
        <v>206</v>
      </c>
      <c r="F64" s="3" t="s">
        <v>207</v>
      </c>
      <c r="G64" s="3" t="s">
        <v>208</v>
      </c>
      <c r="H64" s="6" t="s">
        <v>4</v>
      </c>
      <c r="I64" s="7"/>
      <c r="J64" s="7"/>
      <c r="K64" s="3">
        <v>6.5</v>
      </c>
      <c r="L64" s="3">
        <v>7.74</v>
      </c>
      <c r="M64" s="3">
        <v>3</v>
      </c>
      <c r="N64" s="3">
        <f t="shared" si="6"/>
        <v>19.5</v>
      </c>
      <c r="O64" s="3">
        <f t="shared" si="3"/>
        <v>23.22</v>
      </c>
      <c r="P64" s="3"/>
      <c r="Q64" s="7" t="s">
        <v>16</v>
      </c>
      <c r="R64" s="3"/>
      <c r="S64" s="3"/>
      <c r="T64" s="3"/>
      <c r="U64" s="3"/>
      <c r="V64" s="35"/>
    </row>
    <row r="65" spans="2:22" x14ac:dyDescent="0.25">
      <c r="B65" s="34"/>
      <c r="C65" s="5">
        <v>59</v>
      </c>
      <c r="D65" s="7">
        <v>68</v>
      </c>
      <c r="E65" s="49" t="s">
        <v>357</v>
      </c>
      <c r="F65" s="3"/>
      <c r="G65" s="3"/>
      <c r="H65" s="6"/>
      <c r="I65" s="7"/>
      <c r="J65" s="7"/>
      <c r="K65" s="3"/>
      <c r="L65" s="3"/>
      <c r="M65" s="3"/>
      <c r="N65" s="3"/>
      <c r="O65" s="3"/>
      <c r="P65" s="3"/>
      <c r="Q65" s="7" t="s">
        <v>341</v>
      </c>
      <c r="R65" s="3"/>
      <c r="S65" s="3"/>
      <c r="T65" s="3"/>
      <c r="U65" s="3"/>
      <c r="V65" s="35"/>
    </row>
    <row r="66" spans="2:22" x14ac:dyDescent="0.25">
      <c r="B66" s="34"/>
      <c r="C66" s="5">
        <v>60</v>
      </c>
      <c r="D66" s="7">
        <v>69</v>
      </c>
      <c r="E66" s="49" t="s">
        <v>358</v>
      </c>
      <c r="F66" s="3"/>
      <c r="G66" s="3"/>
      <c r="H66" s="6"/>
      <c r="I66" s="7"/>
      <c r="J66" s="7"/>
      <c r="K66" s="3"/>
      <c r="L66" s="3"/>
      <c r="M66" s="3"/>
      <c r="N66" s="3"/>
      <c r="O66" s="3"/>
      <c r="P66" s="3"/>
      <c r="Q66" s="7" t="s">
        <v>341</v>
      </c>
      <c r="R66" s="3"/>
      <c r="S66" s="3"/>
      <c r="T66" s="3"/>
      <c r="U66" s="3"/>
      <c r="V66" s="35"/>
    </row>
    <row r="67" spans="2:22" ht="15.75" thickBot="1" x14ac:dyDescent="0.3">
      <c r="B67" s="36"/>
      <c r="C67" s="37">
        <v>61</v>
      </c>
      <c r="D67" s="41">
        <v>70</v>
      </c>
      <c r="E67" s="50" t="s">
        <v>359</v>
      </c>
      <c r="F67" s="39"/>
      <c r="G67" s="39"/>
      <c r="H67" s="40"/>
      <c r="I67" s="41"/>
      <c r="J67" s="41"/>
      <c r="K67" s="39"/>
      <c r="L67" s="39"/>
      <c r="M67" s="39"/>
      <c r="N67" s="39"/>
      <c r="O67" s="39"/>
      <c r="P67" s="39"/>
      <c r="Q67" s="41" t="s">
        <v>341</v>
      </c>
      <c r="R67" s="39"/>
      <c r="S67" s="39"/>
      <c r="T67" s="39"/>
      <c r="U67" s="39"/>
      <c r="V67" s="43"/>
    </row>
    <row r="68" spans="2:22" ht="15.75" thickBot="1" x14ac:dyDescent="0.3">
      <c r="B68" s="44"/>
      <c r="C68" s="44"/>
      <c r="D68" s="44"/>
      <c r="E68" s="44"/>
      <c r="F68" s="44"/>
      <c r="G68" s="44"/>
      <c r="H68" s="44"/>
      <c r="I68" s="45"/>
      <c r="J68" s="45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</row>
    <row r="69" spans="2:22" x14ac:dyDescent="0.25">
      <c r="B69" s="51" t="s">
        <v>360</v>
      </c>
      <c r="C69" s="26">
        <v>62</v>
      </c>
      <c r="D69" s="30">
        <v>48</v>
      </c>
      <c r="E69" s="27" t="s">
        <v>209</v>
      </c>
      <c r="F69" s="28" t="s">
        <v>210</v>
      </c>
      <c r="G69" s="28" t="s">
        <v>211</v>
      </c>
      <c r="H69" s="29" t="s">
        <v>4</v>
      </c>
      <c r="I69" s="30"/>
      <c r="J69" s="30"/>
      <c r="K69" s="28">
        <v>67.86</v>
      </c>
      <c r="L69" s="28">
        <v>80.75</v>
      </c>
      <c r="M69" s="28">
        <v>1</v>
      </c>
      <c r="N69" s="28">
        <f t="shared" ref="N69:N85" si="7">K69*M69</f>
        <v>67.86</v>
      </c>
      <c r="O69" s="28">
        <f t="shared" ref="O69:O86" si="8">L69*M69</f>
        <v>80.75</v>
      </c>
      <c r="P69" s="28"/>
      <c r="Q69" s="30" t="s">
        <v>91</v>
      </c>
      <c r="R69" s="28"/>
      <c r="S69" s="28"/>
      <c r="T69" s="28"/>
      <c r="U69" s="28"/>
      <c r="V69" s="33"/>
    </row>
    <row r="70" spans="2:22" x14ac:dyDescent="0.25">
      <c r="B70" s="55"/>
      <c r="C70" s="5">
        <v>63</v>
      </c>
      <c r="D70" s="7">
        <v>50</v>
      </c>
      <c r="E70" s="8" t="s">
        <v>212</v>
      </c>
      <c r="F70" s="3" t="s">
        <v>213</v>
      </c>
      <c r="G70" s="3" t="s">
        <v>214</v>
      </c>
      <c r="H70" s="6" t="s">
        <v>4</v>
      </c>
      <c r="I70" s="7"/>
      <c r="J70" s="7"/>
      <c r="K70" s="3">
        <v>125</v>
      </c>
      <c r="L70" s="3">
        <v>148.75</v>
      </c>
      <c r="M70" s="3">
        <v>1</v>
      </c>
      <c r="N70" s="3">
        <f t="shared" si="7"/>
        <v>125</v>
      </c>
      <c r="O70" s="3">
        <f t="shared" si="8"/>
        <v>148.75</v>
      </c>
      <c r="P70" s="3"/>
      <c r="Q70" s="7" t="s">
        <v>91</v>
      </c>
      <c r="R70" s="3"/>
      <c r="S70" s="3"/>
      <c r="T70" s="3"/>
      <c r="U70" s="3"/>
      <c r="V70" s="35"/>
    </row>
    <row r="71" spans="2:22" x14ac:dyDescent="0.25">
      <c r="B71" s="55"/>
      <c r="C71" s="5">
        <v>64</v>
      </c>
      <c r="D71" s="7"/>
      <c r="E71" s="8" t="s">
        <v>215</v>
      </c>
      <c r="F71" s="3" t="s">
        <v>216</v>
      </c>
      <c r="G71" s="3" t="s">
        <v>217</v>
      </c>
      <c r="H71" s="6" t="s">
        <v>4</v>
      </c>
      <c r="I71" s="7"/>
      <c r="J71" s="7"/>
      <c r="K71" s="3">
        <v>25</v>
      </c>
      <c r="L71" s="3">
        <v>29.75</v>
      </c>
      <c r="M71" s="3">
        <v>1</v>
      </c>
      <c r="N71" s="3">
        <f t="shared" si="7"/>
        <v>25</v>
      </c>
      <c r="O71" s="3">
        <f t="shared" si="8"/>
        <v>29.75</v>
      </c>
      <c r="P71" s="3"/>
      <c r="Q71" s="7" t="s">
        <v>91</v>
      </c>
      <c r="R71" s="3"/>
      <c r="S71" s="3"/>
      <c r="T71" s="3"/>
      <c r="U71" s="3"/>
      <c r="V71" s="35"/>
    </row>
    <row r="72" spans="2:22" x14ac:dyDescent="0.25">
      <c r="B72" s="55"/>
      <c r="C72" s="5">
        <v>65</v>
      </c>
      <c r="D72" s="7"/>
      <c r="E72" s="8" t="s">
        <v>218</v>
      </c>
      <c r="F72" s="3" t="s">
        <v>219</v>
      </c>
      <c r="G72" s="3" t="s">
        <v>220</v>
      </c>
      <c r="H72" s="6" t="s">
        <v>4</v>
      </c>
      <c r="I72" s="7"/>
      <c r="J72" s="7"/>
      <c r="K72" s="3">
        <v>17.86</v>
      </c>
      <c r="L72" s="3">
        <v>21.25</v>
      </c>
      <c r="M72" s="3">
        <v>1</v>
      </c>
      <c r="N72" s="3">
        <f t="shared" si="7"/>
        <v>17.86</v>
      </c>
      <c r="O72" s="3">
        <f t="shared" si="8"/>
        <v>21.25</v>
      </c>
      <c r="P72" s="3"/>
      <c r="Q72" s="7" t="s">
        <v>91</v>
      </c>
      <c r="R72" s="3"/>
      <c r="S72" s="3"/>
      <c r="T72" s="3"/>
      <c r="U72" s="3"/>
      <c r="V72" s="35"/>
    </row>
    <row r="73" spans="2:22" x14ac:dyDescent="0.25">
      <c r="B73" s="55"/>
      <c r="C73" s="5">
        <v>66</v>
      </c>
      <c r="D73" s="7">
        <v>51</v>
      </c>
      <c r="E73" s="8" t="s">
        <v>221</v>
      </c>
      <c r="F73" s="3" t="s">
        <v>222</v>
      </c>
      <c r="G73" s="3" t="s">
        <v>223</v>
      </c>
      <c r="H73" s="6" t="s">
        <v>4</v>
      </c>
      <c r="I73" s="7"/>
      <c r="J73" s="7"/>
      <c r="K73" s="3">
        <v>114.29</v>
      </c>
      <c r="L73" s="3">
        <v>136</v>
      </c>
      <c r="M73" s="3">
        <v>1</v>
      </c>
      <c r="N73" s="3">
        <f t="shared" si="7"/>
        <v>114.29</v>
      </c>
      <c r="O73" s="3">
        <f t="shared" si="8"/>
        <v>136</v>
      </c>
      <c r="P73" s="3"/>
      <c r="Q73" s="7" t="s">
        <v>91</v>
      </c>
      <c r="R73" s="3"/>
      <c r="S73" s="3"/>
      <c r="T73" s="3"/>
      <c r="U73" s="3"/>
      <c r="V73" s="35"/>
    </row>
    <row r="74" spans="2:22" x14ac:dyDescent="0.25">
      <c r="B74" s="55"/>
      <c r="C74" s="5">
        <v>67</v>
      </c>
      <c r="D74" s="7">
        <v>52</v>
      </c>
      <c r="E74" s="8" t="s">
        <v>224</v>
      </c>
      <c r="F74" s="3" t="s">
        <v>361</v>
      </c>
      <c r="G74" s="3" t="s">
        <v>225</v>
      </c>
      <c r="H74" s="6" t="s">
        <v>4</v>
      </c>
      <c r="I74" s="7"/>
      <c r="J74" s="7"/>
      <c r="K74" s="3">
        <v>83.19</v>
      </c>
      <c r="L74" s="3">
        <v>99</v>
      </c>
      <c r="M74" s="3">
        <v>1</v>
      </c>
      <c r="N74" s="3">
        <f t="shared" si="7"/>
        <v>83.19</v>
      </c>
      <c r="O74" s="3">
        <f t="shared" si="8"/>
        <v>99</v>
      </c>
      <c r="P74" s="3"/>
      <c r="Q74" s="7" t="s">
        <v>226</v>
      </c>
      <c r="R74" s="3"/>
      <c r="S74" s="3"/>
      <c r="T74" s="3"/>
      <c r="U74" s="3"/>
      <c r="V74" s="35"/>
    </row>
    <row r="75" spans="2:22" x14ac:dyDescent="0.25">
      <c r="B75" s="55"/>
      <c r="C75" s="5">
        <v>68</v>
      </c>
      <c r="D75" s="7">
        <v>53</v>
      </c>
      <c r="E75" s="8" t="s">
        <v>227</v>
      </c>
      <c r="F75" s="3" t="s">
        <v>114</v>
      </c>
      <c r="G75" s="3" t="s">
        <v>228</v>
      </c>
      <c r="H75" s="6" t="s">
        <v>4</v>
      </c>
      <c r="I75" s="7"/>
      <c r="J75" s="7"/>
      <c r="K75" s="3">
        <v>89.29</v>
      </c>
      <c r="L75" s="3">
        <v>106.25</v>
      </c>
      <c r="M75" s="3">
        <v>1</v>
      </c>
      <c r="N75" s="3">
        <f t="shared" si="7"/>
        <v>89.29</v>
      </c>
      <c r="O75" s="3">
        <f t="shared" si="8"/>
        <v>106.25</v>
      </c>
      <c r="P75" s="3"/>
      <c r="Q75" s="7" t="s">
        <v>91</v>
      </c>
      <c r="R75" s="3"/>
      <c r="S75" s="3"/>
      <c r="T75" s="3"/>
      <c r="U75" s="3"/>
      <c r="V75" s="35"/>
    </row>
    <row r="76" spans="2:22" x14ac:dyDescent="0.25">
      <c r="B76" s="55"/>
      <c r="C76" s="5">
        <v>69</v>
      </c>
      <c r="D76" s="7">
        <v>54</v>
      </c>
      <c r="E76" s="8" t="s">
        <v>229</v>
      </c>
      <c r="F76" s="3" t="s">
        <v>229</v>
      </c>
      <c r="G76" s="3" t="s">
        <v>230</v>
      </c>
      <c r="H76" s="6" t="s">
        <v>4</v>
      </c>
      <c r="I76" s="7"/>
      <c r="J76" s="7"/>
      <c r="K76" s="3">
        <v>4.8</v>
      </c>
      <c r="L76" s="3">
        <v>4.8</v>
      </c>
      <c r="M76" s="3">
        <v>4</v>
      </c>
      <c r="N76" s="3">
        <f t="shared" si="7"/>
        <v>19.2</v>
      </c>
      <c r="O76" s="3">
        <f t="shared" si="8"/>
        <v>19.2</v>
      </c>
      <c r="P76" s="3"/>
      <c r="Q76" s="7" t="s">
        <v>231</v>
      </c>
      <c r="R76" s="3"/>
      <c r="S76" s="3"/>
      <c r="T76" s="3"/>
      <c r="U76" s="3"/>
      <c r="V76" s="35"/>
    </row>
    <row r="77" spans="2:22" x14ac:dyDescent="0.25">
      <c r="B77" s="55"/>
      <c r="C77" s="5">
        <v>70</v>
      </c>
      <c r="D77" s="7"/>
      <c r="E77" s="8" t="s">
        <v>232</v>
      </c>
      <c r="F77" s="3" t="s">
        <v>172</v>
      </c>
      <c r="G77" s="3" t="s">
        <v>233</v>
      </c>
      <c r="H77" s="6" t="s">
        <v>4</v>
      </c>
      <c r="I77" s="7"/>
      <c r="J77" s="7"/>
      <c r="K77" s="3">
        <v>3.57</v>
      </c>
      <c r="L77" s="3">
        <v>4.25</v>
      </c>
      <c r="M77" s="3">
        <v>4</v>
      </c>
      <c r="N77" s="3">
        <f t="shared" si="7"/>
        <v>14.28</v>
      </c>
      <c r="O77" s="3">
        <f t="shared" si="8"/>
        <v>17</v>
      </c>
      <c r="P77" s="3"/>
      <c r="Q77" s="7" t="s">
        <v>91</v>
      </c>
      <c r="R77" s="3"/>
      <c r="S77" s="3"/>
      <c r="T77" s="3"/>
      <c r="U77" s="3"/>
      <c r="V77" s="35"/>
    </row>
    <row r="78" spans="2:22" x14ac:dyDescent="0.25">
      <c r="B78" s="55"/>
      <c r="C78" s="5">
        <v>71</v>
      </c>
      <c r="D78" s="7"/>
      <c r="E78" s="8" t="s">
        <v>234</v>
      </c>
      <c r="F78" s="3" t="s">
        <v>235</v>
      </c>
      <c r="G78" s="3" t="s">
        <v>236</v>
      </c>
      <c r="H78" s="6" t="s">
        <v>4</v>
      </c>
      <c r="I78" s="7"/>
      <c r="J78" s="7"/>
      <c r="K78" s="3">
        <v>9.57</v>
      </c>
      <c r="L78" s="3">
        <v>9.57</v>
      </c>
      <c r="M78" s="3">
        <v>4</v>
      </c>
      <c r="N78" s="3">
        <f t="shared" si="7"/>
        <v>38.28</v>
      </c>
      <c r="O78" s="3">
        <f t="shared" si="8"/>
        <v>38.28</v>
      </c>
      <c r="P78" s="3"/>
      <c r="Q78" s="7" t="s">
        <v>174</v>
      </c>
      <c r="R78" s="3"/>
      <c r="S78" s="3"/>
      <c r="T78" s="3"/>
      <c r="U78" s="3"/>
      <c r="V78" s="35"/>
    </row>
    <row r="79" spans="2:22" x14ac:dyDescent="0.25">
      <c r="B79" s="55"/>
      <c r="C79" s="5">
        <v>72</v>
      </c>
      <c r="D79" s="7">
        <v>38</v>
      </c>
      <c r="E79" s="8" t="s">
        <v>131</v>
      </c>
      <c r="F79" s="3" t="s">
        <v>132</v>
      </c>
      <c r="G79" s="3" t="s">
        <v>133</v>
      </c>
      <c r="H79" s="6" t="s">
        <v>4</v>
      </c>
      <c r="I79" s="7">
        <v>3</v>
      </c>
      <c r="J79" s="7"/>
      <c r="K79" s="3">
        <v>14.8</v>
      </c>
      <c r="L79" s="3">
        <v>17.61</v>
      </c>
      <c r="M79" s="3">
        <v>2</v>
      </c>
      <c r="N79" s="3">
        <f t="shared" si="7"/>
        <v>29.6</v>
      </c>
      <c r="O79" s="3">
        <f t="shared" si="8"/>
        <v>35.22</v>
      </c>
      <c r="P79" s="3"/>
      <c r="Q79" s="7" t="s">
        <v>16</v>
      </c>
      <c r="R79" s="3"/>
      <c r="S79" s="3"/>
      <c r="T79" s="3"/>
      <c r="U79" s="3"/>
      <c r="V79" s="35"/>
    </row>
    <row r="80" spans="2:22" x14ac:dyDescent="0.25">
      <c r="B80" s="55"/>
      <c r="C80" s="5">
        <v>73</v>
      </c>
      <c r="D80" s="7">
        <v>39</v>
      </c>
      <c r="E80" s="8" t="s">
        <v>137</v>
      </c>
      <c r="F80" s="3" t="s">
        <v>138</v>
      </c>
      <c r="G80" s="3" t="s">
        <v>139</v>
      </c>
      <c r="H80" s="6" t="s">
        <v>4</v>
      </c>
      <c r="I80" s="7">
        <v>3</v>
      </c>
      <c r="J80" s="7"/>
      <c r="K80" s="3">
        <v>2.1</v>
      </c>
      <c r="L80" s="3">
        <v>2.5</v>
      </c>
      <c r="M80" s="3">
        <v>10</v>
      </c>
      <c r="N80" s="3">
        <f t="shared" si="7"/>
        <v>21</v>
      </c>
      <c r="O80" s="3">
        <f t="shared" si="8"/>
        <v>25</v>
      </c>
      <c r="P80" s="3"/>
      <c r="Q80" s="7" t="s">
        <v>16</v>
      </c>
      <c r="R80" s="3"/>
      <c r="S80" s="3"/>
      <c r="T80" s="3"/>
      <c r="U80" s="3"/>
      <c r="V80" s="35"/>
    </row>
    <row r="81" spans="2:22" x14ac:dyDescent="0.25">
      <c r="B81" s="55"/>
      <c r="C81" s="5">
        <v>74</v>
      </c>
      <c r="D81" s="7">
        <v>40</v>
      </c>
      <c r="E81" s="8" t="s">
        <v>335</v>
      </c>
      <c r="F81" s="3" t="s">
        <v>176</v>
      </c>
      <c r="G81" s="3" t="s">
        <v>336</v>
      </c>
      <c r="H81" s="6" t="s">
        <v>4</v>
      </c>
      <c r="I81" s="7">
        <v>4</v>
      </c>
      <c r="J81" s="7"/>
      <c r="K81" s="3">
        <v>6.72</v>
      </c>
      <c r="L81" s="3">
        <v>8</v>
      </c>
      <c r="M81" s="3">
        <v>3</v>
      </c>
      <c r="N81" s="3">
        <f t="shared" si="7"/>
        <v>20.16</v>
      </c>
      <c r="O81" s="3">
        <f t="shared" si="8"/>
        <v>24</v>
      </c>
      <c r="P81" s="3"/>
      <c r="Q81" s="7" t="s">
        <v>157</v>
      </c>
      <c r="R81" s="3"/>
      <c r="S81" s="3"/>
      <c r="T81" s="3"/>
      <c r="U81" s="3"/>
      <c r="V81" s="35"/>
    </row>
    <row r="82" spans="2:22" x14ac:dyDescent="0.25">
      <c r="B82" s="55"/>
      <c r="C82" s="5">
        <v>75</v>
      </c>
      <c r="D82" s="7">
        <v>41</v>
      </c>
      <c r="E82" s="8" t="s">
        <v>143</v>
      </c>
      <c r="F82" s="3" t="s">
        <v>144</v>
      </c>
      <c r="G82" s="3" t="s">
        <v>145</v>
      </c>
      <c r="H82" s="6" t="s">
        <v>4</v>
      </c>
      <c r="I82" s="7">
        <v>3</v>
      </c>
      <c r="J82" s="7"/>
      <c r="K82" s="3">
        <v>2.2999999999999998</v>
      </c>
      <c r="L82" s="3">
        <v>2.74</v>
      </c>
      <c r="M82" s="3">
        <v>4</v>
      </c>
      <c r="N82" s="3">
        <f t="shared" si="7"/>
        <v>9.1999999999999993</v>
      </c>
      <c r="O82" s="3">
        <f t="shared" si="8"/>
        <v>10.96</v>
      </c>
      <c r="P82" s="3"/>
      <c r="Q82" s="7" t="s">
        <v>16</v>
      </c>
      <c r="R82" s="3"/>
      <c r="S82" s="3"/>
      <c r="T82" s="3"/>
      <c r="U82" s="3"/>
      <c r="V82" s="35"/>
    </row>
    <row r="83" spans="2:22" x14ac:dyDescent="0.25">
      <c r="B83" s="55"/>
      <c r="C83" s="5">
        <v>76</v>
      </c>
      <c r="D83" s="3"/>
      <c r="E83" s="8" t="s">
        <v>237</v>
      </c>
      <c r="F83" s="3" t="s">
        <v>238</v>
      </c>
      <c r="G83" s="3" t="s">
        <v>239</v>
      </c>
      <c r="H83" s="6" t="s">
        <v>4</v>
      </c>
      <c r="I83" s="7">
        <v>3</v>
      </c>
      <c r="J83" s="7"/>
      <c r="K83" s="3">
        <v>35.799999999999997</v>
      </c>
      <c r="L83" s="3">
        <v>42.6</v>
      </c>
      <c r="M83" s="3">
        <v>1</v>
      </c>
      <c r="N83" s="3">
        <f t="shared" si="7"/>
        <v>35.799999999999997</v>
      </c>
      <c r="O83" s="3">
        <f t="shared" si="8"/>
        <v>42.6</v>
      </c>
      <c r="P83" s="3"/>
      <c r="Q83" s="7" t="s">
        <v>16</v>
      </c>
      <c r="R83" s="3"/>
      <c r="S83" s="3"/>
      <c r="T83" s="3"/>
      <c r="U83" s="3"/>
      <c r="V83" s="35"/>
    </row>
    <row r="84" spans="2:22" x14ac:dyDescent="0.25">
      <c r="B84" s="55"/>
      <c r="C84" s="5">
        <v>77</v>
      </c>
      <c r="D84" s="3"/>
      <c r="E84" s="8" t="s">
        <v>240</v>
      </c>
      <c r="F84" s="3" t="s">
        <v>241</v>
      </c>
      <c r="G84" s="3" t="s">
        <v>242</v>
      </c>
      <c r="H84" s="17" t="s">
        <v>4</v>
      </c>
      <c r="I84" s="7"/>
      <c r="J84" s="7"/>
      <c r="K84" s="3"/>
      <c r="L84" s="3">
        <v>67.599999999999994</v>
      </c>
      <c r="M84" s="3">
        <v>1</v>
      </c>
      <c r="N84" s="3">
        <f t="shared" si="7"/>
        <v>0</v>
      </c>
      <c r="O84" s="3">
        <f t="shared" si="8"/>
        <v>67.599999999999994</v>
      </c>
      <c r="P84" s="3"/>
      <c r="Q84" s="7" t="s">
        <v>174</v>
      </c>
      <c r="R84" s="3"/>
      <c r="S84" s="3"/>
      <c r="T84" s="3"/>
      <c r="U84" s="3"/>
      <c r="V84" s="35"/>
    </row>
    <row r="85" spans="2:22" x14ac:dyDescent="0.25">
      <c r="B85" s="55"/>
      <c r="C85" s="5">
        <v>78</v>
      </c>
      <c r="D85" s="3"/>
      <c r="E85" s="8" t="s">
        <v>243</v>
      </c>
      <c r="F85" s="3" t="s">
        <v>244</v>
      </c>
      <c r="G85" s="3" t="s">
        <v>245</v>
      </c>
      <c r="H85" s="17" t="s">
        <v>4</v>
      </c>
      <c r="I85" s="7"/>
      <c r="J85" s="7"/>
      <c r="K85" s="3"/>
      <c r="L85" s="3">
        <v>6.32</v>
      </c>
      <c r="M85" s="3">
        <v>1</v>
      </c>
      <c r="N85" s="3">
        <f t="shared" si="7"/>
        <v>0</v>
      </c>
      <c r="O85" s="3">
        <f t="shared" si="8"/>
        <v>6.32</v>
      </c>
      <c r="P85" s="3"/>
      <c r="Q85" s="7" t="s">
        <v>174</v>
      </c>
      <c r="R85" s="3"/>
      <c r="S85" s="3"/>
      <c r="T85" s="3"/>
      <c r="U85" s="3"/>
      <c r="V85" s="35"/>
    </row>
    <row r="86" spans="2:22" ht="15.75" thickBot="1" x14ac:dyDescent="0.3">
      <c r="B86" s="57"/>
      <c r="C86" s="41">
        <v>79</v>
      </c>
      <c r="D86" s="39"/>
      <c r="E86" s="38" t="s">
        <v>246</v>
      </c>
      <c r="F86" s="39" t="s">
        <v>247</v>
      </c>
      <c r="G86" s="39"/>
      <c r="H86" s="40" t="s">
        <v>4</v>
      </c>
      <c r="I86" s="41"/>
      <c r="J86" s="41"/>
      <c r="K86" s="39">
        <v>28.53</v>
      </c>
      <c r="L86" s="39">
        <v>33.950000000000003</v>
      </c>
      <c r="M86" s="39">
        <v>1</v>
      </c>
      <c r="N86" s="39"/>
      <c r="O86" s="39">
        <f t="shared" si="8"/>
        <v>33.950000000000003</v>
      </c>
      <c r="P86" s="39"/>
      <c r="Q86" s="41" t="s">
        <v>248</v>
      </c>
      <c r="R86" s="39"/>
      <c r="S86" s="39"/>
      <c r="T86" s="39"/>
      <c r="U86" s="39"/>
      <c r="V86" s="43"/>
    </row>
    <row r="87" spans="2:22" ht="15.75" thickBot="1" x14ac:dyDescent="0.3">
      <c r="I87" s="45"/>
      <c r="J87" s="46"/>
    </row>
    <row r="88" spans="2:22" x14ac:dyDescent="0.25">
      <c r="B88" s="51" t="s">
        <v>362</v>
      </c>
      <c r="C88" s="30">
        <v>80</v>
      </c>
      <c r="D88" s="30"/>
      <c r="E88" s="52" t="s">
        <v>249</v>
      </c>
      <c r="F88" s="28" t="s">
        <v>250</v>
      </c>
      <c r="G88" s="28"/>
      <c r="H88" s="29" t="s">
        <v>4</v>
      </c>
      <c r="I88" s="30"/>
      <c r="J88" s="30" t="s">
        <v>251</v>
      </c>
      <c r="K88" s="28"/>
      <c r="L88" s="28">
        <v>9.99</v>
      </c>
      <c r="M88" s="28">
        <v>1</v>
      </c>
      <c r="N88" s="28">
        <f t="shared" ref="N88:N111" si="9">K88*M88</f>
        <v>0</v>
      </c>
      <c r="O88" s="28">
        <f t="shared" ref="O88:O111" si="10">L88*M88</f>
        <v>9.99</v>
      </c>
      <c r="P88" s="28"/>
      <c r="Q88" s="30" t="s">
        <v>84</v>
      </c>
      <c r="R88" s="28"/>
      <c r="S88" s="28"/>
      <c r="T88" s="28"/>
      <c r="U88" s="28"/>
      <c r="V88" s="33"/>
    </row>
    <row r="89" spans="2:22" x14ac:dyDescent="0.25">
      <c r="B89" s="55"/>
      <c r="C89" s="7">
        <v>81</v>
      </c>
      <c r="D89" s="7"/>
      <c r="E89" s="13" t="s">
        <v>252</v>
      </c>
      <c r="F89" s="3" t="s">
        <v>253</v>
      </c>
      <c r="G89" s="3"/>
      <c r="H89" s="6" t="s">
        <v>4</v>
      </c>
      <c r="I89" s="7"/>
      <c r="J89" s="7" t="s">
        <v>251</v>
      </c>
      <c r="K89" s="3"/>
      <c r="L89" s="3">
        <v>6.49</v>
      </c>
      <c r="M89" s="3">
        <v>1</v>
      </c>
      <c r="N89" s="3">
        <f t="shared" si="9"/>
        <v>0</v>
      </c>
      <c r="O89" s="3">
        <f t="shared" si="10"/>
        <v>6.49</v>
      </c>
      <c r="P89" s="3"/>
      <c r="Q89" s="7" t="s">
        <v>84</v>
      </c>
      <c r="R89" s="3"/>
      <c r="S89" s="3"/>
      <c r="T89" s="3"/>
      <c r="U89" s="3"/>
      <c r="V89" s="35"/>
    </row>
    <row r="90" spans="2:22" x14ac:dyDescent="0.25">
      <c r="B90" s="55"/>
      <c r="C90" s="7">
        <v>82</v>
      </c>
      <c r="D90" s="7"/>
      <c r="E90" s="8" t="s">
        <v>254</v>
      </c>
      <c r="F90" s="3" t="s">
        <v>255</v>
      </c>
      <c r="G90" s="3" t="s">
        <v>256</v>
      </c>
      <c r="H90" s="6" t="s">
        <v>4</v>
      </c>
      <c r="I90" s="7"/>
      <c r="J90" s="7"/>
      <c r="K90" s="3"/>
      <c r="L90" s="3">
        <v>27.2</v>
      </c>
      <c r="M90" s="3">
        <v>1</v>
      </c>
      <c r="N90" s="3">
        <f t="shared" si="9"/>
        <v>0</v>
      </c>
      <c r="O90" s="3">
        <f t="shared" si="10"/>
        <v>27.2</v>
      </c>
      <c r="P90" s="3"/>
      <c r="Q90" s="7" t="s">
        <v>257</v>
      </c>
      <c r="R90" s="3"/>
      <c r="S90" s="3"/>
      <c r="T90" s="3"/>
      <c r="U90" s="3"/>
      <c r="V90" s="35"/>
    </row>
    <row r="91" spans="2:22" x14ac:dyDescent="0.25">
      <c r="B91" s="55"/>
      <c r="C91" s="7">
        <v>83</v>
      </c>
      <c r="D91" s="7"/>
      <c r="E91" s="8" t="s">
        <v>258</v>
      </c>
      <c r="F91" s="3" t="s">
        <v>259</v>
      </c>
      <c r="G91" s="3" t="s">
        <v>260</v>
      </c>
      <c r="H91" s="6" t="s">
        <v>4</v>
      </c>
      <c r="I91" s="7"/>
      <c r="J91" s="7"/>
      <c r="K91" s="3"/>
      <c r="L91" s="3">
        <v>319</v>
      </c>
      <c r="M91" s="3">
        <v>1</v>
      </c>
      <c r="N91" s="3">
        <f t="shared" si="9"/>
        <v>0</v>
      </c>
      <c r="O91" s="3">
        <f t="shared" si="10"/>
        <v>319</v>
      </c>
      <c r="P91" s="3"/>
      <c r="Q91" s="7" t="s">
        <v>261</v>
      </c>
      <c r="R91" s="3"/>
      <c r="S91" s="3"/>
      <c r="T91" s="3"/>
      <c r="U91" s="3"/>
      <c r="V91" s="35"/>
    </row>
    <row r="92" spans="2:22" x14ac:dyDescent="0.25">
      <c r="B92" s="55"/>
      <c r="C92" s="7">
        <v>84</v>
      </c>
      <c r="D92" s="7"/>
      <c r="E92" s="8" t="s">
        <v>262</v>
      </c>
      <c r="F92" s="3" t="s">
        <v>263</v>
      </c>
      <c r="G92" s="3" t="s">
        <v>264</v>
      </c>
      <c r="H92" s="6" t="s">
        <v>4</v>
      </c>
      <c r="I92" s="7"/>
      <c r="J92" s="7"/>
      <c r="K92" s="3"/>
      <c r="L92" s="3">
        <v>88.19</v>
      </c>
      <c r="M92" s="3">
        <v>1</v>
      </c>
      <c r="N92" s="3">
        <f t="shared" si="9"/>
        <v>0</v>
      </c>
      <c r="O92" s="3">
        <f t="shared" si="10"/>
        <v>88.19</v>
      </c>
      <c r="P92" s="3"/>
      <c r="Q92" s="7" t="s">
        <v>84</v>
      </c>
      <c r="R92" s="3"/>
      <c r="S92" s="3"/>
      <c r="T92" s="3"/>
      <c r="U92" s="3"/>
      <c r="V92" s="35"/>
    </row>
    <row r="93" spans="2:22" x14ac:dyDescent="0.25">
      <c r="B93" s="55"/>
      <c r="C93" s="7">
        <v>85</v>
      </c>
      <c r="D93" s="7"/>
      <c r="E93" s="8" t="s">
        <v>265</v>
      </c>
      <c r="F93" s="3" t="s">
        <v>266</v>
      </c>
      <c r="G93" s="3" t="s">
        <v>267</v>
      </c>
      <c r="H93" s="6" t="s">
        <v>4</v>
      </c>
      <c r="I93" s="7"/>
      <c r="J93" s="7"/>
      <c r="K93" s="3"/>
      <c r="L93" s="3">
        <v>14.85</v>
      </c>
      <c r="M93" s="3">
        <v>1</v>
      </c>
      <c r="N93" s="3">
        <f t="shared" si="9"/>
        <v>0</v>
      </c>
      <c r="O93" s="3">
        <f t="shared" si="10"/>
        <v>14.85</v>
      </c>
      <c r="P93" s="3"/>
      <c r="Q93" s="7"/>
      <c r="R93" s="3"/>
      <c r="S93" s="3"/>
      <c r="T93" s="3"/>
      <c r="U93" s="3"/>
      <c r="V93" s="35"/>
    </row>
    <row r="94" spans="2:22" x14ac:dyDescent="0.25">
      <c r="B94" s="55"/>
      <c r="C94" s="7">
        <v>86</v>
      </c>
      <c r="D94" s="7"/>
      <c r="E94" s="8" t="s">
        <v>268</v>
      </c>
      <c r="F94" s="3" t="s">
        <v>269</v>
      </c>
      <c r="G94" s="3" t="s">
        <v>270</v>
      </c>
      <c r="H94" s="6" t="s">
        <v>4</v>
      </c>
      <c r="I94" s="7">
        <v>7</v>
      </c>
      <c r="J94" s="7"/>
      <c r="K94" s="3"/>
      <c r="L94" s="3">
        <v>5.51</v>
      </c>
      <c r="M94" s="3">
        <v>1</v>
      </c>
      <c r="N94" s="3">
        <f t="shared" si="9"/>
        <v>0</v>
      </c>
      <c r="O94" s="3">
        <f t="shared" si="10"/>
        <v>5.51</v>
      </c>
      <c r="P94" s="3"/>
      <c r="Q94" s="7"/>
      <c r="R94" s="3"/>
      <c r="S94" s="3"/>
      <c r="T94" s="3"/>
      <c r="U94" s="3"/>
      <c r="V94" s="35"/>
    </row>
    <row r="95" spans="2:22" x14ac:dyDescent="0.25">
      <c r="B95" s="55"/>
      <c r="C95" s="7">
        <v>87</v>
      </c>
      <c r="D95" s="3"/>
      <c r="E95" s="8" t="s">
        <v>271</v>
      </c>
      <c r="F95" s="3" t="s">
        <v>272</v>
      </c>
      <c r="G95" s="3" t="s">
        <v>273</v>
      </c>
      <c r="H95" s="6" t="s">
        <v>4</v>
      </c>
      <c r="I95" s="3"/>
      <c r="J95" s="3"/>
      <c r="K95" s="3">
        <v>22.31</v>
      </c>
      <c r="L95" s="3">
        <v>26.55</v>
      </c>
      <c r="M95" s="3">
        <v>1</v>
      </c>
      <c r="N95" s="3">
        <f t="shared" si="9"/>
        <v>22.31</v>
      </c>
      <c r="O95" s="3">
        <f t="shared" si="10"/>
        <v>26.55</v>
      </c>
      <c r="P95" s="3"/>
      <c r="Q95" s="7"/>
      <c r="R95" s="3"/>
      <c r="S95" s="3"/>
      <c r="T95" s="3"/>
      <c r="U95" s="3"/>
      <c r="V95" s="35"/>
    </row>
    <row r="96" spans="2:22" x14ac:dyDescent="0.25">
      <c r="B96" s="55"/>
      <c r="C96" s="7">
        <v>88</v>
      </c>
      <c r="D96" s="3"/>
      <c r="E96" s="8" t="s">
        <v>274</v>
      </c>
      <c r="F96" s="3" t="s">
        <v>275</v>
      </c>
      <c r="G96" s="3" t="s">
        <v>276</v>
      </c>
      <c r="H96" s="6" t="s">
        <v>4</v>
      </c>
      <c r="I96" s="3"/>
      <c r="J96" s="3"/>
      <c r="K96" s="3"/>
      <c r="L96" s="3">
        <v>10.5</v>
      </c>
      <c r="M96" s="3">
        <v>2</v>
      </c>
      <c r="N96" s="3">
        <f t="shared" si="9"/>
        <v>0</v>
      </c>
      <c r="O96" s="3">
        <f t="shared" si="10"/>
        <v>21</v>
      </c>
      <c r="P96" s="3"/>
      <c r="Q96" s="7"/>
      <c r="R96" s="3"/>
      <c r="S96" s="3"/>
      <c r="T96" s="3"/>
      <c r="U96" s="3"/>
      <c r="V96" s="35"/>
    </row>
    <row r="97" spans="2:22" x14ac:dyDescent="0.25">
      <c r="B97" s="55"/>
      <c r="C97" s="7">
        <v>89</v>
      </c>
      <c r="D97" s="3"/>
      <c r="E97" s="8" t="s">
        <v>277</v>
      </c>
      <c r="F97" s="3" t="s">
        <v>278</v>
      </c>
      <c r="G97" s="3" t="s">
        <v>279</v>
      </c>
      <c r="H97" s="6" t="s">
        <v>4</v>
      </c>
      <c r="I97" s="3"/>
      <c r="J97" s="3"/>
      <c r="K97" s="3"/>
      <c r="L97" s="3">
        <v>14.7</v>
      </c>
      <c r="M97" s="3">
        <v>1</v>
      </c>
      <c r="N97" s="3">
        <f t="shared" si="9"/>
        <v>0</v>
      </c>
      <c r="O97" s="3">
        <f t="shared" si="10"/>
        <v>14.7</v>
      </c>
      <c r="P97" s="3"/>
      <c r="Q97" s="7"/>
      <c r="R97" s="3"/>
      <c r="S97" s="3"/>
      <c r="T97" s="3"/>
      <c r="U97" s="3"/>
      <c r="V97" s="35"/>
    </row>
    <row r="98" spans="2:22" x14ac:dyDescent="0.25">
      <c r="B98" s="55"/>
      <c r="C98" s="7">
        <v>90</v>
      </c>
      <c r="D98" s="3"/>
      <c r="E98" s="8" t="s">
        <v>280</v>
      </c>
      <c r="F98" s="3" t="s">
        <v>281</v>
      </c>
      <c r="G98" s="3" t="s">
        <v>282</v>
      </c>
      <c r="H98" s="6" t="s">
        <v>4</v>
      </c>
      <c r="I98" s="3"/>
      <c r="J98" s="3"/>
      <c r="K98" s="3"/>
      <c r="L98" s="3">
        <v>25.3</v>
      </c>
      <c r="M98" s="3">
        <v>1</v>
      </c>
      <c r="N98" s="3">
        <f t="shared" si="9"/>
        <v>0</v>
      </c>
      <c r="O98" s="3">
        <f t="shared" si="10"/>
        <v>25.3</v>
      </c>
      <c r="P98" s="3"/>
      <c r="Q98" s="7"/>
      <c r="R98" s="3"/>
      <c r="S98" s="3"/>
      <c r="T98" s="3"/>
      <c r="U98" s="3"/>
      <c r="V98" s="35"/>
    </row>
    <row r="99" spans="2:22" x14ac:dyDescent="0.25">
      <c r="B99" s="55"/>
      <c r="C99" s="7">
        <v>91</v>
      </c>
      <c r="D99" s="3"/>
      <c r="E99" s="8" t="s">
        <v>283</v>
      </c>
      <c r="F99" s="3" t="s">
        <v>284</v>
      </c>
      <c r="G99" s="3" t="s">
        <v>285</v>
      </c>
      <c r="H99" s="6" t="s">
        <v>4</v>
      </c>
      <c r="I99" s="3"/>
      <c r="J99" s="3"/>
      <c r="K99" s="3"/>
      <c r="L99" s="3">
        <v>31.3</v>
      </c>
      <c r="M99" s="3">
        <v>1</v>
      </c>
      <c r="N99" s="3">
        <f t="shared" si="9"/>
        <v>0</v>
      </c>
      <c r="O99" s="3">
        <f t="shared" si="10"/>
        <v>31.3</v>
      </c>
      <c r="P99" s="3"/>
      <c r="Q99" s="7"/>
      <c r="R99" s="3"/>
      <c r="S99" s="3"/>
      <c r="T99" s="3"/>
      <c r="U99" s="3"/>
      <c r="V99" s="35"/>
    </row>
    <row r="100" spans="2:22" x14ac:dyDescent="0.25">
      <c r="B100" s="55"/>
      <c r="C100" s="7">
        <v>92</v>
      </c>
      <c r="D100" s="3"/>
      <c r="E100" s="8" t="s">
        <v>286</v>
      </c>
      <c r="F100" s="3" t="s">
        <v>287</v>
      </c>
      <c r="G100" s="3" t="s">
        <v>288</v>
      </c>
      <c r="H100" s="6" t="s">
        <v>4</v>
      </c>
      <c r="I100" s="3"/>
      <c r="J100" s="3"/>
      <c r="K100" s="3"/>
      <c r="L100" s="3">
        <v>22.4</v>
      </c>
      <c r="M100" s="3">
        <v>1</v>
      </c>
      <c r="N100" s="3">
        <f t="shared" si="9"/>
        <v>0</v>
      </c>
      <c r="O100" s="3">
        <f t="shared" si="10"/>
        <v>22.4</v>
      </c>
      <c r="P100" s="3"/>
      <c r="Q100" s="7"/>
      <c r="R100" s="3"/>
      <c r="S100" s="3"/>
      <c r="T100" s="3"/>
      <c r="U100" s="3"/>
      <c r="V100" s="35"/>
    </row>
    <row r="101" spans="2:22" x14ac:dyDescent="0.25">
      <c r="B101" s="55"/>
      <c r="C101" s="7">
        <v>93</v>
      </c>
      <c r="D101" s="3"/>
      <c r="E101" s="8" t="s">
        <v>289</v>
      </c>
      <c r="F101" s="3" t="s">
        <v>290</v>
      </c>
      <c r="G101" s="3" t="s">
        <v>291</v>
      </c>
      <c r="H101" s="6" t="s">
        <v>4</v>
      </c>
      <c r="I101" s="3"/>
      <c r="J101" s="3"/>
      <c r="K101" s="3"/>
      <c r="L101" s="3">
        <v>1</v>
      </c>
      <c r="M101" s="3">
        <v>20</v>
      </c>
      <c r="N101" s="3">
        <f t="shared" si="9"/>
        <v>0</v>
      </c>
      <c r="O101" s="3">
        <f t="shared" si="10"/>
        <v>20</v>
      </c>
      <c r="P101" s="3"/>
      <c r="Q101" s="7"/>
      <c r="R101" s="3"/>
      <c r="S101" s="3"/>
      <c r="T101" s="3"/>
      <c r="U101" s="3"/>
      <c r="V101" s="35"/>
    </row>
    <row r="102" spans="2:22" x14ac:dyDescent="0.25">
      <c r="B102" s="55"/>
      <c r="C102" s="7">
        <v>94</v>
      </c>
      <c r="D102" s="3"/>
      <c r="E102" s="8" t="s">
        <v>292</v>
      </c>
      <c r="F102" s="3" t="s">
        <v>293</v>
      </c>
      <c r="G102" s="3" t="s">
        <v>294</v>
      </c>
      <c r="H102" s="6" t="s">
        <v>4</v>
      </c>
      <c r="I102" s="3"/>
      <c r="J102" s="3"/>
      <c r="K102" s="3"/>
      <c r="L102" s="3">
        <v>4.8</v>
      </c>
      <c r="M102" s="3">
        <v>1</v>
      </c>
      <c r="N102" s="3">
        <f t="shared" si="9"/>
        <v>0</v>
      </c>
      <c r="O102" s="3">
        <f t="shared" si="10"/>
        <v>4.8</v>
      </c>
      <c r="P102" s="3"/>
      <c r="Q102" s="7"/>
      <c r="R102" s="3"/>
      <c r="S102" s="3"/>
      <c r="T102" s="3"/>
      <c r="U102" s="3"/>
      <c r="V102" s="35"/>
    </row>
    <row r="103" spans="2:22" x14ac:dyDescent="0.25">
      <c r="B103" s="55"/>
      <c r="C103" s="7">
        <v>95</v>
      </c>
      <c r="D103" s="3"/>
      <c r="E103" s="8" t="s">
        <v>295</v>
      </c>
      <c r="F103" s="3" t="s">
        <v>293</v>
      </c>
      <c r="G103" s="3" t="s">
        <v>296</v>
      </c>
      <c r="H103" s="6" t="s">
        <v>4</v>
      </c>
      <c r="I103" s="3"/>
      <c r="J103" s="3"/>
      <c r="K103" s="3"/>
      <c r="L103" s="3">
        <v>4.9000000000000004</v>
      </c>
      <c r="M103" s="3">
        <v>1</v>
      </c>
      <c r="N103" s="3">
        <f t="shared" si="9"/>
        <v>0</v>
      </c>
      <c r="O103" s="3">
        <f t="shared" si="10"/>
        <v>4.9000000000000004</v>
      </c>
      <c r="P103" s="3"/>
      <c r="Q103" s="7"/>
      <c r="R103" s="3"/>
      <c r="S103" s="3"/>
      <c r="T103" s="3"/>
      <c r="U103" s="3"/>
      <c r="V103" s="35"/>
    </row>
    <row r="104" spans="2:22" x14ac:dyDescent="0.25">
      <c r="B104" s="55"/>
      <c r="C104" s="7">
        <v>96</v>
      </c>
      <c r="D104" s="3"/>
      <c r="E104" s="8" t="s">
        <v>297</v>
      </c>
      <c r="F104" s="3"/>
      <c r="G104" s="3" t="s">
        <v>298</v>
      </c>
      <c r="H104" s="6" t="s">
        <v>4</v>
      </c>
      <c r="I104" s="3"/>
      <c r="J104" s="3"/>
      <c r="K104" s="3"/>
      <c r="L104" s="3">
        <v>2.42</v>
      </c>
      <c r="M104" s="3">
        <v>2</v>
      </c>
      <c r="N104" s="3">
        <f t="shared" si="9"/>
        <v>0</v>
      </c>
      <c r="O104" s="3">
        <f t="shared" si="10"/>
        <v>4.84</v>
      </c>
      <c r="P104" s="3"/>
      <c r="Q104" s="7"/>
      <c r="R104" s="3"/>
      <c r="S104" s="3"/>
      <c r="T104" s="3"/>
      <c r="U104" s="3"/>
      <c r="V104" s="35"/>
    </row>
    <row r="105" spans="2:22" x14ac:dyDescent="0.25">
      <c r="B105" s="55"/>
      <c r="C105" s="7">
        <v>97</v>
      </c>
      <c r="D105" s="3"/>
      <c r="E105" s="8" t="s">
        <v>299</v>
      </c>
      <c r="F105" s="3"/>
      <c r="G105" s="3" t="s">
        <v>300</v>
      </c>
      <c r="H105" s="6" t="s">
        <v>4</v>
      </c>
      <c r="I105" s="3"/>
      <c r="J105" s="3"/>
      <c r="K105" s="3"/>
      <c r="L105" s="3">
        <v>12.7</v>
      </c>
      <c r="M105" s="3">
        <v>1</v>
      </c>
      <c r="N105" s="3">
        <f t="shared" si="9"/>
        <v>0</v>
      </c>
      <c r="O105" s="3">
        <f t="shared" si="10"/>
        <v>12.7</v>
      </c>
      <c r="P105" s="3"/>
      <c r="Q105" s="7"/>
      <c r="R105" s="3"/>
      <c r="S105" s="3"/>
      <c r="T105" s="3"/>
      <c r="U105" s="3"/>
      <c r="V105" s="35"/>
    </row>
    <row r="106" spans="2:22" x14ac:dyDescent="0.25">
      <c r="B106" s="55"/>
      <c r="C106" s="7">
        <v>98</v>
      </c>
      <c r="D106" s="3"/>
      <c r="E106" s="8" t="s">
        <v>301</v>
      </c>
      <c r="F106" s="3" t="s">
        <v>302</v>
      </c>
      <c r="G106" s="3" t="s">
        <v>303</v>
      </c>
      <c r="H106" s="17" t="s">
        <v>4</v>
      </c>
      <c r="I106" s="3"/>
      <c r="J106" s="3"/>
      <c r="K106" s="3"/>
      <c r="L106" s="3">
        <v>1.94</v>
      </c>
      <c r="M106" s="3">
        <v>5</v>
      </c>
      <c r="N106" s="3">
        <f t="shared" si="9"/>
        <v>0</v>
      </c>
      <c r="O106" s="3">
        <f t="shared" si="10"/>
        <v>9.6999999999999993</v>
      </c>
      <c r="P106" s="3"/>
      <c r="Q106" s="7"/>
      <c r="R106" s="3"/>
      <c r="S106" s="3"/>
      <c r="T106" s="3"/>
      <c r="U106" s="3"/>
      <c r="V106" s="35"/>
    </row>
    <row r="107" spans="2:22" x14ac:dyDescent="0.25">
      <c r="B107" s="55"/>
      <c r="C107" s="7">
        <v>99</v>
      </c>
      <c r="D107" s="3"/>
      <c r="E107" s="8" t="s">
        <v>304</v>
      </c>
      <c r="F107" s="3" t="s">
        <v>305</v>
      </c>
      <c r="G107" s="3" t="s">
        <v>306</v>
      </c>
      <c r="H107" s="17" t="s">
        <v>4</v>
      </c>
      <c r="I107" s="3"/>
      <c r="J107" s="3"/>
      <c r="K107" s="3"/>
      <c r="L107" s="3">
        <v>1.33</v>
      </c>
      <c r="M107" s="3">
        <v>10</v>
      </c>
      <c r="N107" s="3">
        <f t="shared" si="9"/>
        <v>0</v>
      </c>
      <c r="O107" s="3">
        <f t="shared" si="10"/>
        <v>13.3</v>
      </c>
      <c r="P107" s="3"/>
      <c r="Q107" s="7"/>
      <c r="R107" s="3"/>
      <c r="S107" s="3"/>
      <c r="T107" s="3"/>
      <c r="U107" s="3"/>
      <c r="V107" s="35"/>
    </row>
    <row r="108" spans="2:22" x14ac:dyDescent="0.25">
      <c r="B108" s="55"/>
      <c r="C108" s="7">
        <v>100</v>
      </c>
      <c r="D108" s="3"/>
      <c r="E108" s="8" t="s">
        <v>307</v>
      </c>
      <c r="F108" s="3" t="s">
        <v>308</v>
      </c>
      <c r="G108" s="3" t="s">
        <v>309</v>
      </c>
      <c r="H108" s="17" t="s">
        <v>4</v>
      </c>
      <c r="I108" s="3"/>
      <c r="J108" s="3"/>
      <c r="K108" s="3"/>
      <c r="L108" s="3">
        <v>4.38</v>
      </c>
      <c r="M108" s="3">
        <v>6</v>
      </c>
      <c r="N108" s="3">
        <f t="shared" si="9"/>
        <v>0</v>
      </c>
      <c r="O108" s="3">
        <f t="shared" si="10"/>
        <v>26.28</v>
      </c>
      <c r="P108" s="3"/>
      <c r="Q108" s="7"/>
      <c r="R108" s="3"/>
      <c r="S108" s="3"/>
      <c r="T108" s="3"/>
      <c r="U108" s="3"/>
      <c r="V108" s="35"/>
    </row>
    <row r="109" spans="2:22" x14ac:dyDescent="0.25">
      <c r="B109" s="55"/>
      <c r="C109" s="7">
        <v>101</v>
      </c>
      <c r="D109" s="3"/>
      <c r="E109" s="8" t="s">
        <v>310</v>
      </c>
      <c r="F109" s="3"/>
      <c r="G109" s="3" t="s">
        <v>311</v>
      </c>
      <c r="H109" s="6" t="s">
        <v>4</v>
      </c>
      <c r="I109" s="3"/>
      <c r="J109" s="3"/>
      <c r="K109" s="3"/>
      <c r="L109" s="3">
        <v>1.05</v>
      </c>
      <c r="M109" s="3">
        <v>5</v>
      </c>
      <c r="N109" s="3">
        <f t="shared" si="9"/>
        <v>0</v>
      </c>
      <c r="O109" s="3">
        <f t="shared" si="10"/>
        <v>5.25</v>
      </c>
      <c r="P109" s="3"/>
      <c r="Q109" s="7"/>
      <c r="R109" s="3"/>
      <c r="S109" s="3"/>
      <c r="T109" s="3"/>
      <c r="U109" s="3"/>
      <c r="V109" s="35"/>
    </row>
    <row r="110" spans="2:22" x14ac:dyDescent="0.25">
      <c r="B110" s="55"/>
      <c r="C110" s="7">
        <v>102</v>
      </c>
      <c r="D110" s="3"/>
      <c r="E110" s="8" t="s">
        <v>312</v>
      </c>
      <c r="F110" s="3"/>
      <c r="G110" s="3" t="s">
        <v>313</v>
      </c>
      <c r="H110" s="6" t="s">
        <v>4</v>
      </c>
      <c r="I110" s="3"/>
      <c r="J110" s="3"/>
      <c r="K110" s="3"/>
      <c r="L110" s="3">
        <v>1.05</v>
      </c>
      <c r="M110" s="3">
        <v>5</v>
      </c>
      <c r="N110" s="3">
        <f t="shared" si="9"/>
        <v>0</v>
      </c>
      <c r="O110" s="3">
        <f t="shared" si="10"/>
        <v>5.25</v>
      </c>
      <c r="P110" s="3"/>
      <c r="Q110" s="7"/>
      <c r="R110" s="3"/>
      <c r="S110" s="3"/>
      <c r="T110" s="3"/>
      <c r="U110" s="3"/>
      <c r="V110" s="35"/>
    </row>
    <row r="111" spans="2:22" ht="15.75" thickBot="1" x14ac:dyDescent="0.3">
      <c r="B111" s="57"/>
      <c r="C111" s="41">
        <v>103</v>
      </c>
      <c r="D111" s="39"/>
      <c r="E111" s="38" t="s">
        <v>314</v>
      </c>
      <c r="F111" s="39"/>
      <c r="G111" s="39" t="s">
        <v>315</v>
      </c>
      <c r="H111" s="40" t="s">
        <v>4</v>
      </c>
      <c r="I111" s="39"/>
      <c r="J111" s="39"/>
      <c r="K111" s="39"/>
      <c r="L111" s="39">
        <v>10.14</v>
      </c>
      <c r="M111" s="39">
        <v>1</v>
      </c>
      <c r="N111" s="39">
        <f t="shared" si="9"/>
        <v>0</v>
      </c>
      <c r="O111" s="39">
        <f t="shared" si="10"/>
        <v>10.14</v>
      </c>
      <c r="P111" s="39"/>
      <c r="Q111" s="41"/>
      <c r="R111" s="39"/>
      <c r="S111" s="39"/>
      <c r="T111" s="39"/>
      <c r="U111" s="39"/>
      <c r="V111" s="43"/>
    </row>
    <row r="112" spans="2:22" ht="15.75" thickBot="1" x14ac:dyDescent="0.3"/>
    <row r="113" spans="2:22" x14ac:dyDescent="0.25">
      <c r="B113" s="69" t="s">
        <v>86</v>
      </c>
      <c r="C113" s="28"/>
      <c r="D113" s="28"/>
      <c r="E113" s="28" t="s">
        <v>316</v>
      </c>
      <c r="F113" s="28" t="s">
        <v>317</v>
      </c>
      <c r="G113" s="28"/>
      <c r="H113" s="29" t="s">
        <v>318</v>
      </c>
      <c r="I113" s="28"/>
      <c r="J113" s="28"/>
      <c r="K113" s="28"/>
      <c r="L113" s="28">
        <v>171.9</v>
      </c>
      <c r="M113" s="28">
        <v>1</v>
      </c>
      <c r="N113" s="28">
        <f t="shared" ref="N113:N117" si="11">K113*M113</f>
        <v>0</v>
      </c>
      <c r="O113" s="28">
        <f t="shared" ref="O113:O117" si="12">L113*M113</f>
        <v>171.9</v>
      </c>
      <c r="P113" s="28"/>
      <c r="Q113" s="28"/>
      <c r="R113" s="28"/>
      <c r="S113" s="28"/>
      <c r="T113" s="28"/>
      <c r="U113" s="28"/>
      <c r="V113" s="33"/>
    </row>
    <row r="114" spans="2:22" x14ac:dyDescent="0.25">
      <c r="B114" s="70"/>
      <c r="C114" s="3"/>
      <c r="D114" s="3"/>
      <c r="E114" s="3" t="s">
        <v>319</v>
      </c>
      <c r="F114" s="3" t="s">
        <v>320</v>
      </c>
      <c r="G114" s="3" t="s">
        <v>321</v>
      </c>
      <c r="H114" s="6" t="s">
        <v>318</v>
      </c>
      <c r="I114" s="3"/>
      <c r="J114" s="3"/>
      <c r="K114" s="3">
        <v>196.43</v>
      </c>
      <c r="L114" s="3">
        <v>233.75</v>
      </c>
      <c r="M114" s="3">
        <v>1</v>
      </c>
      <c r="N114" s="3">
        <f t="shared" si="11"/>
        <v>196.43</v>
      </c>
      <c r="O114" s="3">
        <f t="shared" si="12"/>
        <v>233.75</v>
      </c>
      <c r="P114" s="3"/>
      <c r="Q114" s="3"/>
      <c r="R114" s="3"/>
      <c r="S114" s="3"/>
      <c r="T114" s="3"/>
      <c r="U114" s="3"/>
      <c r="V114" s="35"/>
    </row>
    <row r="115" spans="2:22" x14ac:dyDescent="0.25">
      <c r="B115" s="70"/>
      <c r="C115" s="3"/>
      <c r="D115" s="3"/>
      <c r="E115" s="3" t="s">
        <v>322</v>
      </c>
      <c r="F115" s="3" t="s">
        <v>323</v>
      </c>
      <c r="G115" s="3" t="s">
        <v>324</v>
      </c>
      <c r="H115" s="6" t="s">
        <v>318</v>
      </c>
      <c r="I115" s="3"/>
      <c r="J115" s="3"/>
      <c r="K115" s="3">
        <v>125</v>
      </c>
      <c r="L115" s="3">
        <v>148.75</v>
      </c>
      <c r="M115" s="3">
        <v>1</v>
      </c>
      <c r="N115" s="3">
        <f t="shared" si="11"/>
        <v>125</v>
      </c>
      <c r="O115" s="3">
        <f t="shared" si="12"/>
        <v>148.75</v>
      </c>
      <c r="P115" s="3"/>
      <c r="Q115" s="3"/>
      <c r="R115" s="3"/>
      <c r="S115" s="3"/>
      <c r="T115" s="3"/>
      <c r="U115" s="3"/>
      <c r="V115" s="35"/>
    </row>
    <row r="116" spans="2:22" x14ac:dyDescent="0.25">
      <c r="B116" s="70"/>
      <c r="C116" s="3"/>
      <c r="D116" s="3"/>
      <c r="E116" s="3" t="s">
        <v>325</v>
      </c>
      <c r="F116" s="3" t="s">
        <v>326</v>
      </c>
      <c r="G116" s="3" t="s">
        <v>327</v>
      </c>
      <c r="H116" s="6" t="s">
        <v>318</v>
      </c>
      <c r="I116" s="3"/>
      <c r="J116" s="3"/>
      <c r="K116" s="3"/>
      <c r="L116" s="3">
        <v>280</v>
      </c>
      <c r="M116" s="3">
        <v>1</v>
      </c>
      <c r="N116" s="3">
        <f t="shared" si="11"/>
        <v>0</v>
      </c>
      <c r="O116" s="3">
        <f t="shared" si="12"/>
        <v>280</v>
      </c>
      <c r="P116" s="3"/>
      <c r="Q116" s="3"/>
      <c r="R116" s="3"/>
      <c r="S116" s="3"/>
      <c r="T116" s="3"/>
      <c r="U116" s="3"/>
      <c r="V116" s="35"/>
    </row>
    <row r="117" spans="2:22" ht="15.75" thickBot="1" x14ac:dyDescent="0.3">
      <c r="B117" s="71"/>
      <c r="C117" s="39"/>
      <c r="D117" s="39"/>
      <c r="E117" s="39" t="s">
        <v>328</v>
      </c>
      <c r="F117" s="39" t="s">
        <v>323</v>
      </c>
      <c r="G117" s="39" t="s">
        <v>329</v>
      </c>
      <c r="H117" s="40" t="s">
        <v>318</v>
      </c>
      <c r="I117" s="39"/>
      <c r="J117" s="39"/>
      <c r="K117" s="39"/>
      <c r="L117" s="39">
        <v>299</v>
      </c>
      <c r="M117" s="39">
        <v>1</v>
      </c>
      <c r="N117" s="39">
        <f t="shared" si="11"/>
        <v>0</v>
      </c>
      <c r="O117" s="39">
        <f t="shared" si="12"/>
        <v>299</v>
      </c>
      <c r="P117" s="39"/>
      <c r="Q117" s="39"/>
      <c r="R117" s="39"/>
      <c r="S117" s="39"/>
      <c r="T117" s="39"/>
      <c r="U117" s="39"/>
      <c r="V117" s="43"/>
    </row>
    <row r="118" spans="2:22" ht="15.75" thickBot="1" x14ac:dyDescent="0.3"/>
    <row r="119" spans="2:22" x14ac:dyDescent="0.25">
      <c r="B119" s="69" t="s">
        <v>363</v>
      </c>
      <c r="C119" s="28"/>
      <c r="D119" s="28"/>
      <c r="E119" s="28" t="s">
        <v>330</v>
      </c>
      <c r="F119" s="28"/>
      <c r="G119" s="28"/>
      <c r="H119" s="29" t="s">
        <v>4</v>
      </c>
      <c r="I119" s="28"/>
      <c r="J119" s="28"/>
      <c r="K119" s="28"/>
      <c r="L119" s="28">
        <v>24</v>
      </c>
      <c r="M119" s="28">
        <v>5</v>
      </c>
      <c r="N119" s="28">
        <f t="shared" ref="N119:N122" si="13">K119*M119</f>
        <v>0</v>
      </c>
      <c r="O119" s="28">
        <f t="shared" ref="O119:O122" si="14">L119*M119</f>
        <v>120</v>
      </c>
      <c r="P119" s="28"/>
      <c r="Q119" s="28"/>
      <c r="R119" s="28"/>
      <c r="S119" s="28"/>
      <c r="T119" s="28"/>
      <c r="U119" s="28"/>
      <c r="V119" s="33"/>
    </row>
    <row r="120" spans="2:22" x14ac:dyDescent="0.25">
      <c r="B120" s="70"/>
      <c r="C120" s="3"/>
      <c r="D120" s="3"/>
      <c r="E120" s="3" t="s">
        <v>331</v>
      </c>
      <c r="F120" s="3"/>
      <c r="G120" s="3"/>
      <c r="H120" s="6" t="s">
        <v>4</v>
      </c>
      <c r="I120" s="3"/>
      <c r="J120" s="3"/>
      <c r="K120" s="3"/>
      <c r="L120" s="3">
        <v>15.15</v>
      </c>
      <c r="M120" s="3">
        <v>5</v>
      </c>
      <c r="N120" s="3">
        <f t="shared" si="13"/>
        <v>0</v>
      </c>
      <c r="O120" s="3">
        <f t="shared" si="14"/>
        <v>75.75</v>
      </c>
      <c r="P120" s="3"/>
      <c r="Q120" s="3"/>
      <c r="R120" s="3"/>
      <c r="S120" s="3"/>
      <c r="T120" s="3"/>
      <c r="U120" s="3"/>
      <c r="V120" s="35"/>
    </row>
    <row r="121" spans="2:22" x14ac:dyDescent="0.25">
      <c r="B121" s="70"/>
      <c r="C121" s="3"/>
      <c r="D121" s="3"/>
      <c r="E121" s="16" t="s">
        <v>332</v>
      </c>
      <c r="F121" s="3"/>
      <c r="G121" s="3"/>
      <c r="H121" s="3"/>
      <c r="I121" s="3"/>
      <c r="J121" s="3"/>
      <c r="K121" s="3"/>
      <c r="L121" s="3">
        <v>15</v>
      </c>
      <c r="M121" s="3">
        <v>5</v>
      </c>
      <c r="N121" s="3">
        <f t="shared" si="13"/>
        <v>0</v>
      </c>
      <c r="O121" s="3">
        <f t="shared" si="14"/>
        <v>75</v>
      </c>
      <c r="P121" s="3"/>
      <c r="Q121" s="3"/>
      <c r="R121" s="3"/>
      <c r="S121" s="3"/>
      <c r="T121" s="3"/>
      <c r="U121" s="3"/>
      <c r="V121" s="35"/>
    </row>
    <row r="122" spans="2:22" ht="15.75" thickBot="1" x14ac:dyDescent="0.3">
      <c r="B122" s="71"/>
      <c r="C122" s="39"/>
      <c r="D122" s="39"/>
      <c r="E122" s="39" t="s">
        <v>334</v>
      </c>
      <c r="F122" s="39"/>
      <c r="G122" s="39"/>
      <c r="H122" s="40" t="s">
        <v>4</v>
      </c>
      <c r="I122" s="39"/>
      <c r="J122" s="39"/>
      <c r="K122" s="39"/>
      <c r="L122" s="39">
        <v>39</v>
      </c>
      <c r="M122" s="39">
        <v>3</v>
      </c>
      <c r="N122" s="39">
        <f t="shared" si="13"/>
        <v>0</v>
      </c>
      <c r="O122" s="39">
        <f t="shared" si="14"/>
        <v>117</v>
      </c>
      <c r="P122" s="39"/>
      <c r="Q122" s="39"/>
      <c r="R122" s="39"/>
      <c r="S122" s="39"/>
      <c r="T122" s="39"/>
      <c r="U122" s="39"/>
      <c r="V122" s="43"/>
    </row>
  </sheetData>
  <mergeCells count="10">
    <mergeCell ref="B69:B86"/>
    <mergeCell ref="B88:B111"/>
    <mergeCell ref="B113:B117"/>
    <mergeCell ref="B119:B122"/>
    <mergeCell ref="R2:V2"/>
    <mergeCell ref="B3:B9"/>
    <mergeCell ref="B11:B19"/>
    <mergeCell ref="B21:B34"/>
    <mergeCell ref="B36:B45"/>
    <mergeCell ref="B47:B67"/>
  </mergeCells>
  <hyperlinks>
    <hyperlink ref="H3" r:id="rId1" xr:uid="{394105F2-DD1D-4FEB-B28E-79CBE70881CF}"/>
    <hyperlink ref="H4" r:id="rId2" xr:uid="{E60F8355-C702-4386-B8E9-6BD727EF1D8F}"/>
    <hyperlink ref="H5" r:id="rId3" xr:uid="{15A7A220-1C20-4D64-B788-894D6D517DD5}"/>
    <hyperlink ref="H11" r:id="rId4" xr:uid="{7E18911B-DC44-487F-854C-295B6CBB8BCB}"/>
    <hyperlink ref="H6" r:id="rId5" xr:uid="{2EC8A57B-BED4-4961-8004-2A4114AFB896}"/>
    <hyperlink ref="H7" r:id="rId6" xr:uid="{5090DD7A-A4BC-4647-BB8E-82C8C2F52A33}"/>
    <hyperlink ref="H12" r:id="rId7" xr:uid="{2666BA3C-A93C-40F9-9F8A-FE16A4C71476}"/>
    <hyperlink ref="H13" r:id="rId8" xr:uid="{909E2DBF-EA78-4310-B47E-AE8211DDF86C}"/>
    <hyperlink ref="H8" r:id="rId9" xr:uid="{008D1155-6962-453F-9A4B-11714D641224}"/>
    <hyperlink ref="H14" r:id="rId10" xr:uid="{992B5C56-F52D-4E2A-B7EE-010762563D07}"/>
    <hyperlink ref="H15" r:id="rId11" xr:uid="{44D32941-5F3B-4945-A4CC-27475BD179E6}"/>
    <hyperlink ref="H16" r:id="rId12" xr:uid="{2C42014B-F9BC-4F9A-B12B-23857D948744}"/>
    <hyperlink ref="H22" r:id="rId13" xr:uid="{317CE416-7049-45C0-B030-57AF3B0E66F5}"/>
    <hyperlink ref="H21" r:id="rId14" xr:uid="{B830BD9B-689D-4A60-9D19-51E9B1411832}"/>
    <hyperlink ref="H9" r:id="rId15" xr:uid="{A476809D-7AF6-4D1A-9348-D832EE637396}"/>
    <hyperlink ref="H28" r:id="rId16" xr:uid="{322AEFA2-5FA2-4A8B-8F1C-D75E8D94F3DE}"/>
    <hyperlink ref="H29" r:id="rId17" xr:uid="{03E9F56C-FCAA-4BA7-8906-72D128AA95CE}"/>
    <hyperlink ref="H30" r:id="rId18" xr:uid="{BA180F42-6DEF-42B1-9C65-99427FCDD01B}"/>
    <hyperlink ref="H36" r:id="rId19" xr:uid="{B14BA04F-13BE-4C6F-86CE-86C08D6229D8}"/>
    <hyperlink ref="H37" r:id="rId20" xr:uid="{C9CBF492-99B8-48CF-A0E5-C02450FD06D4}"/>
    <hyperlink ref="H38" r:id="rId21" xr:uid="{3BA39E94-B664-41F7-9621-0CBAA6FBB31A}"/>
    <hyperlink ref="H39" r:id="rId22" xr:uid="{14BD62E4-0FE9-4F19-A634-28471DB911A2}"/>
    <hyperlink ref="H40" r:id="rId23" xr:uid="{76441EFA-F4E7-430E-B6E9-50FC2E042888}"/>
    <hyperlink ref="H41" r:id="rId24" xr:uid="{54E05063-739A-47D7-B9A8-A68CDEEEB071}"/>
    <hyperlink ref="H42" r:id="rId25" xr:uid="{584E91F6-3999-41B8-86BF-329985DB2EB7}"/>
    <hyperlink ref="H43" r:id="rId26" xr:uid="{E0F11CE5-C6D9-4DFF-BC0F-1F5C5A5A7263}"/>
    <hyperlink ref="H69" r:id="rId27" xr:uid="{883F498F-6F77-43AE-A0CE-DD5AA889A105}"/>
    <hyperlink ref="H47" r:id="rId28" xr:uid="{8AC88ACD-530F-4922-AB93-F23A79586FA0}"/>
    <hyperlink ref="H48" r:id="rId29" xr:uid="{7E91358D-9891-4802-8B51-72EBEA464278}"/>
    <hyperlink ref="H49" r:id="rId30" xr:uid="{985C0173-E30E-423A-A850-E064A8D7736A}"/>
    <hyperlink ref="H54" r:id="rId31" xr:uid="{C50478FA-B9E5-450A-BA2A-3B6DC6ED1C6E}"/>
    <hyperlink ref="H55" r:id="rId32" xr:uid="{C74B051B-E36B-4648-AFA6-0F2AF7E3BB60}"/>
    <hyperlink ref="H56" r:id="rId33" xr:uid="{6748F09B-617C-4D99-B8D6-921D12954637}"/>
    <hyperlink ref="H57" r:id="rId34" xr:uid="{852F2D92-74ED-41A7-8861-8EB1FEACFC25}"/>
    <hyperlink ref="H58" r:id="rId35" xr:uid="{4C74C883-79F8-4329-A242-82D6BEA6F46E}"/>
    <hyperlink ref="H59" r:id="rId36" xr:uid="{2E1C8C7D-2355-4E1C-AC5E-316662995993}"/>
    <hyperlink ref="H60" r:id="rId37" xr:uid="{50C09578-D72C-4991-94C8-B8D07384EDA9}"/>
    <hyperlink ref="H61" r:id="rId38" xr:uid="{7594AE83-0081-4351-80C6-9F0D2740C636}"/>
    <hyperlink ref="H62" r:id="rId39" xr:uid="{E3077E0B-615F-4F95-B97F-9F926A5059C0}"/>
    <hyperlink ref="H63" r:id="rId40" xr:uid="{B81CA992-576F-4D11-AB0C-1869CC0A9FEC}"/>
    <hyperlink ref="H64" r:id="rId41" xr:uid="{01E37F34-E5B1-4F94-BDED-25EDA25F7325}"/>
    <hyperlink ref="H88" r:id="rId42" xr:uid="{268C20D6-DBB1-4D96-B8D1-A2F52AC88015}"/>
    <hyperlink ref="H89" r:id="rId43" xr:uid="{8AF7F86E-0AC6-477F-BDFB-F7FD6250F57A}"/>
    <hyperlink ref="H24" r:id="rId44" xr:uid="{63774760-F29C-4B25-9634-23085E7E8361}"/>
    <hyperlink ref="H25" r:id="rId45" xr:uid="{9B5862C6-7D69-43F9-B7E6-AD68EE3894E2}"/>
    <hyperlink ref="H45" r:id="rId46" xr:uid="{3334F3BE-525E-47CA-A8A3-58ED315E4C6E}"/>
    <hyperlink ref="H50" r:id="rId47" xr:uid="{A401529D-0222-4356-8BEA-074A23BDBCB2}"/>
    <hyperlink ref="H51" r:id="rId48" xr:uid="{754E0B8F-2188-4FE4-8F64-472DC4C4B3D4}"/>
    <hyperlink ref="H52" r:id="rId49" xr:uid="{19F24798-8A59-48B2-AF1F-EDF89B9AE25A}"/>
    <hyperlink ref="H53" r:id="rId50" xr:uid="{B4A7547D-A469-46E4-818C-1BC961DF4381}"/>
    <hyperlink ref="H70" r:id="rId51" xr:uid="{F310BAB8-3C9C-4974-A38E-C1A34A9E9F2F}"/>
    <hyperlink ref="H73" r:id="rId52" xr:uid="{058812E7-42CD-4999-B605-0C21F30B14B2}"/>
    <hyperlink ref="H75" r:id="rId53" xr:uid="{963D3862-E1BE-4F74-B329-09F80168A3E9}"/>
    <hyperlink ref="H74" r:id="rId54" xr:uid="{2C5DFB3C-4ADC-4170-8833-7A7C21A17EBF}"/>
    <hyperlink ref="H71" r:id="rId55" xr:uid="{CEAF6B5D-AAFA-42FD-A4B4-55D84BF54739}"/>
    <hyperlink ref="H72" r:id="rId56" xr:uid="{D101B69B-79DE-4CD2-A877-84057294518D}"/>
    <hyperlink ref="H76" r:id="rId57" xr:uid="{3235910F-6A39-4872-B85A-4EE331DEA6AD}"/>
    <hyperlink ref="H77" r:id="rId58" xr:uid="{DBA2F753-C0CB-4B23-AB10-CB52F661FE57}"/>
    <hyperlink ref="H78" r:id="rId59" xr:uid="{1945D0D3-B442-46BA-8980-EF5CE9C4D591}"/>
    <hyperlink ref="H79" r:id="rId60" xr:uid="{A99C03C4-F50E-4EDD-8D08-AA2FCE6CF388}"/>
    <hyperlink ref="H80" r:id="rId61" xr:uid="{E2A9E4D7-9A14-40CB-942D-122E64674232}"/>
    <hyperlink ref="H82" r:id="rId62" xr:uid="{6770151C-CC2B-41C5-95B3-A8D5ECE3C79D}"/>
    <hyperlink ref="H84" r:id="rId63" xr:uid="{C134C7C8-FFBB-4D19-B1D9-6C3001C91097}"/>
    <hyperlink ref="H85" r:id="rId64" xr:uid="{0251141D-8B85-460A-B2F8-60FBE23752E6}"/>
    <hyperlink ref="H86" r:id="rId65" xr:uid="{4456C1F9-610B-4FAD-A5FA-2CCA3A5722EA}"/>
    <hyperlink ref="H44" r:id="rId66" xr:uid="{182D86E2-C269-4F70-A39A-4C10E7992A76}"/>
    <hyperlink ref="H91" r:id="rId67" xr:uid="{9066B4DB-CCFF-4864-8A0B-0D67F012482F}"/>
    <hyperlink ref="H90" r:id="rId68" xr:uid="{D5A1C600-0361-4138-8BB1-099458B0F3F7}"/>
    <hyperlink ref="H92" r:id="rId69" xr:uid="{A7205547-3AF5-4863-9121-E43B3EDC1991}"/>
    <hyperlink ref="H93" r:id="rId70" xr:uid="{F2400CBF-3830-4628-B3EF-0487ADED4841}"/>
    <hyperlink ref="H94" r:id="rId71" xr:uid="{DF84373C-99A6-4B47-AB11-056BF11CC3D5}"/>
    <hyperlink ref="H95" r:id="rId72" xr:uid="{74DD0394-BBE5-4C94-B32C-9674B5690334}"/>
    <hyperlink ref="H96" r:id="rId73" xr:uid="{CEEC0362-E0BE-4204-A1D0-88E70D2760AF}"/>
    <hyperlink ref="H97" r:id="rId74" display="link" xr:uid="{8483C259-CE2B-4905-83B6-B74FB4FF05E4}"/>
    <hyperlink ref="H98" r:id="rId75" xr:uid="{65665EC8-67B4-4B0B-81FD-265611942D4B}"/>
    <hyperlink ref="H99" r:id="rId76" xr:uid="{21DA5058-9032-4B4C-A8E1-6AE2BB408D6C}"/>
    <hyperlink ref="H100" r:id="rId77" xr:uid="{894D1204-986C-40BF-8301-82471500FBCE}"/>
    <hyperlink ref="H101" r:id="rId78" xr:uid="{1FF91864-EFBD-411C-A2C5-604126FB6616}"/>
    <hyperlink ref="H102" r:id="rId79" xr:uid="{7578C032-AFB2-460B-92EE-0E63C6AF1467}"/>
    <hyperlink ref="H103" r:id="rId80" xr:uid="{C2CD3052-83C7-4267-928B-CD2714E0E5D2}"/>
    <hyperlink ref="H104" r:id="rId81" xr:uid="{D45B05CF-064E-4730-9EF3-DBE5E438CE69}"/>
    <hyperlink ref="H105" r:id="rId82" xr:uid="{943E30AA-4482-429C-AF03-A37AD758F857}"/>
    <hyperlink ref="H106" r:id="rId83" xr:uid="{4A42209D-8BC3-432B-81E7-BC621D6B0457}"/>
    <hyperlink ref="H107" r:id="rId84" xr:uid="{F4BC01E8-E803-42F1-A75E-152AAD8E31F1}"/>
    <hyperlink ref="H108" r:id="rId85" xr:uid="{E5E2651D-8604-48FB-865B-29057AC40694}"/>
    <hyperlink ref="H109" r:id="rId86" xr:uid="{89DCA89C-7329-4E2D-9082-BE83A4B3C8E0}"/>
    <hyperlink ref="H110" r:id="rId87" xr:uid="{E72B305A-8715-450F-9D37-3916DED7091D}"/>
    <hyperlink ref="H111" r:id="rId88" xr:uid="{2E5B4275-DF3E-4D1B-8A9F-668B06279DDF}"/>
    <hyperlink ref="H113" r:id="rId89" xr:uid="{69A7ECAF-9542-4028-93DE-AA48CB241748}"/>
    <hyperlink ref="H114" r:id="rId90" xr:uid="{0DE0CABD-2164-45D8-A800-6B3F1502CE21}"/>
    <hyperlink ref="H115" r:id="rId91" xr:uid="{D30C9A85-B594-4A58-A69A-4ED9598FF239}"/>
    <hyperlink ref="H116" r:id="rId92" xr:uid="{EDA1D2AF-B5B3-42A6-B2B9-A5CD69DA6065}"/>
    <hyperlink ref="H117" r:id="rId93" xr:uid="{C2BA8D7F-1C15-4C85-AD4E-DAF815FF624D}"/>
    <hyperlink ref="H119" r:id="rId94" xr:uid="{5CD733DC-D51C-4A64-9DAB-DF202AF7CE36}"/>
    <hyperlink ref="H120" r:id="rId95" xr:uid="{996EB41D-36CB-4BEF-9112-52E85429BB6D}"/>
    <hyperlink ref="H122" r:id="rId96" xr:uid="{570DB97F-0FA3-426B-A0A4-002A94D99EA1}"/>
    <hyperlink ref="H83" r:id="rId97" xr:uid="{C321F140-6F23-4381-8DFE-133C7AF1BB67}"/>
    <hyperlink ref="H81" r:id="rId98" xr:uid="{5C3B0D5A-6DE7-4E09-A7D9-C34FACFB2A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Summery</vt:lpstr>
      <vt:lpstr>Station Wise 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ratikanta mishra</dc:creator>
  <cp:lastModifiedBy>ratikanta mishra</cp:lastModifiedBy>
  <dcterms:created xsi:type="dcterms:W3CDTF">2026-04-20T08:59:31Z</dcterms:created>
  <dcterms:modified xsi:type="dcterms:W3CDTF">2026-04-20T09:01:27Z</dcterms:modified>
</cp:coreProperties>
</file>