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0e4c882022e26f/Personal Folder/00_Startup/01_Mectosys_Prototype/02_BOM/"/>
    </mc:Choice>
  </mc:AlternateContent>
  <xr:revisionPtr revIDLastSave="3" documentId="13_ncr:1_{2727B84B-9E1F-41E4-B4FC-DC4462B710DD}" xr6:coauthVersionLast="47" xr6:coauthVersionMax="47" xr10:uidLastSave="{5A146A8B-9107-48BF-874C-03A99C726530}"/>
  <bookViews>
    <workbookView xWindow="28680" yWindow="-120" windowWidth="29040" windowHeight="15720" xr2:uid="{DED39E1D-C519-45F6-B07F-353D55FF40C1}"/>
  </bookViews>
  <sheets>
    <sheet name="BOM" sheetId="4" r:id="rId1"/>
  </sheets>
  <definedNames>
    <definedName name="_xlnm._FilterDatabase" localSheetId="0" hidden="1">BOM!$B$1:$B$92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" i="4" l="1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70" i="4"/>
  <c r="AF72" i="4"/>
  <c r="AF73" i="4"/>
  <c r="AF74" i="4"/>
  <c r="AF76" i="4"/>
  <c r="AF77" i="4"/>
  <c r="AF69" i="4"/>
  <c r="AF71" i="4"/>
  <c r="AF75" i="4"/>
  <c r="AF78" i="4"/>
  <c r="AF79" i="4"/>
  <c r="AF80" i="4"/>
  <c r="AF81" i="4"/>
  <c r="AF82" i="4"/>
  <c r="AF83" i="4"/>
  <c r="AF84" i="4"/>
  <c r="AF86" i="4"/>
  <c r="AF85" i="4"/>
  <c r="AF87" i="4"/>
  <c r="AF88" i="4"/>
  <c r="AF89" i="4"/>
  <c r="AF90" i="4"/>
  <c r="AF91" i="4"/>
  <c r="AF92" i="4"/>
  <c r="AF3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70" i="4"/>
  <c r="W72" i="4"/>
  <c r="W73" i="4"/>
  <c r="W74" i="4"/>
  <c r="W76" i="4"/>
  <c r="W77" i="4"/>
  <c r="W69" i="4"/>
  <c r="W71" i="4"/>
  <c r="W75" i="4"/>
  <c r="W78" i="4"/>
  <c r="W79" i="4"/>
  <c r="W80" i="4"/>
  <c r="W81" i="4"/>
  <c r="W82" i="4"/>
  <c r="W83" i="4"/>
  <c r="W84" i="4"/>
  <c r="W86" i="4"/>
  <c r="W85" i="4"/>
  <c r="W87" i="4"/>
  <c r="W88" i="4"/>
  <c r="W89" i="4"/>
  <c r="W90" i="4"/>
  <c r="W91" i="4"/>
  <c r="W92" i="4"/>
  <c r="W4" i="4"/>
  <c r="W5" i="4"/>
  <c r="W6" i="4"/>
  <c r="W7" i="4"/>
  <c r="W8" i="4"/>
  <c r="W9" i="4"/>
  <c r="W10" i="4"/>
  <c r="W11" i="4"/>
  <c r="W12" i="4"/>
  <c r="W13" i="4"/>
  <c r="W14" i="4"/>
  <c r="W15" i="4"/>
  <c r="W3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70" i="4"/>
  <c r="N72" i="4"/>
  <c r="N73" i="4"/>
  <c r="N74" i="4"/>
  <c r="N76" i="4"/>
  <c r="N77" i="4"/>
  <c r="N69" i="4"/>
  <c r="N71" i="4"/>
  <c r="N75" i="4"/>
  <c r="N78" i="4"/>
  <c r="N79" i="4"/>
  <c r="N80" i="4"/>
  <c r="N81" i="4"/>
  <c r="N82" i="4"/>
  <c r="N83" i="4"/>
  <c r="N84" i="4"/>
  <c r="N86" i="4"/>
  <c r="N85" i="4"/>
  <c r="N87" i="4"/>
  <c r="N88" i="4"/>
  <c r="N89" i="4"/>
  <c r="N90" i="4"/>
  <c r="N91" i="4"/>
  <c r="N92" i="4"/>
  <c r="N16" i="4"/>
  <c r="N15" i="4"/>
  <c r="AO14" i="4"/>
  <c r="V14" i="4"/>
  <c r="N14" i="4"/>
  <c r="AO13" i="4"/>
  <c r="V13" i="4"/>
  <c r="N13" i="4"/>
  <c r="AO75" i="4"/>
  <c r="AE75" i="4"/>
  <c r="M75" i="4"/>
  <c r="AO71" i="4"/>
  <c r="V71" i="4"/>
  <c r="M71" i="4"/>
  <c r="AO69" i="4"/>
  <c r="V69" i="4"/>
  <c r="M69" i="4"/>
  <c r="AO87" i="4"/>
  <c r="V87" i="4"/>
  <c r="M87" i="4"/>
  <c r="AO84" i="4"/>
  <c r="V84" i="4"/>
  <c r="M84" i="4"/>
  <c r="AO77" i="4"/>
  <c r="V77" i="4"/>
  <c r="AO76" i="4"/>
  <c r="V76" i="4"/>
  <c r="AO80" i="4"/>
  <c r="V80" i="4"/>
  <c r="M80" i="4"/>
  <c r="AO79" i="4"/>
  <c r="V79" i="4"/>
  <c r="M79" i="4"/>
  <c r="AO78" i="4"/>
  <c r="V78" i="4"/>
  <c r="M78" i="4"/>
  <c r="AO12" i="4"/>
  <c r="V12" i="4"/>
  <c r="N12" i="4"/>
  <c r="AO11" i="4"/>
  <c r="V11" i="4"/>
  <c r="N11" i="4"/>
  <c r="M11" i="4"/>
  <c r="AO10" i="4"/>
  <c r="V10" i="4"/>
  <c r="N10" i="4"/>
  <c r="M10" i="4"/>
  <c r="AO9" i="4"/>
  <c r="V9" i="4"/>
  <c r="N9" i="4"/>
  <c r="M9" i="4"/>
  <c r="AO8" i="4"/>
  <c r="V8" i="4"/>
  <c r="N8" i="4"/>
  <c r="M8" i="4"/>
  <c r="AO7" i="4"/>
  <c r="V7" i="4"/>
  <c r="N7" i="4"/>
  <c r="M7" i="4"/>
  <c r="AO6" i="4"/>
  <c r="V6" i="4"/>
  <c r="N6" i="4"/>
  <c r="M6" i="4"/>
  <c r="AO5" i="4"/>
  <c r="V5" i="4"/>
  <c r="N5" i="4"/>
  <c r="M5" i="4"/>
  <c r="AO4" i="4"/>
  <c r="V4" i="4"/>
  <c r="N4" i="4"/>
  <c r="M4" i="4"/>
  <c r="V3" i="4"/>
  <c r="N3" i="4"/>
  <c r="M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ratikanta mishra</author>
  </authors>
  <commentList>
    <comment ref="AH7" authorId="0" shapeId="0" xr:uid="{9D96BBFE-2A94-405C-9D4F-595201AB5CA2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P8" authorId="0" shapeId="0" xr:uid="{AC2891AE-A10A-4A8A-A9C3-C45E64793629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Y8" authorId="0" shapeId="0" xr:uid="{550A1B58-1EC6-472F-BE2C-B4FA038C86B7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AH8" authorId="0" shapeId="0" xr:uid="{39D91E7F-051E-42FF-816C-FBAFCAB1A480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</commentList>
</comments>
</file>

<file path=xl/sharedStrings.xml><?xml version="1.0" encoding="utf-8"?>
<sst xmlns="http://schemas.openxmlformats.org/spreadsheetml/2006/main" count="913" uniqueCount="356">
  <si>
    <t>Sr No</t>
  </si>
  <si>
    <t>Component Name</t>
  </si>
  <si>
    <t>Component Details</t>
  </si>
  <si>
    <t>Part No</t>
  </si>
  <si>
    <t>Criticality</t>
  </si>
  <si>
    <t>Remark</t>
  </si>
  <si>
    <t>Supplier Name</t>
  </si>
  <si>
    <t>Condition</t>
  </si>
  <si>
    <t>Link</t>
  </si>
  <si>
    <t>Price</t>
  </si>
  <si>
    <t>Tax</t>
  </si>
  <si>
    <t>Qty (Nos)</t>
  </si>
  <si>
    <t>Total Price</t>
  </si>
  <si>
    <t>Lead Time (Days)</t>
  </si>
  <si>
    <t>Specification</t>
  </si>
  <si>
    <t>6 Series / slot width 8 / 300x30mm, Parallel Surfacing</t>
  </si>
  <si>
    <t xml:space="preserve">Surface plate </t>
  </si>
  <si>
    <t>EFSP6-30030-900</t>
  </si>
  <si>
    <t>Overall Length L (mm) = 900</t>
  </si>
  <si>
    <t>6 Series / slot width 8 / 30x30mm</t>
  </si>
  <si>
    <t>30X30 extrusion</t>
  </si>
  <si>
    <t>HFS6-3030-2400</t>
  </si>
  <si>
    <t>Extrusion Type = HFS (Standard)</t>
  </si>
  <si>
    <t>Surface Treatment = Clear Anodize</t>
  </si>
  <si>
    <t>L Dimension Fixed, Specified = Configuration</t>
  </si>
  <si>
    <t>Overall Length L (mm) = 2400</t>
  </si>
  <si>
    <t>6 Series (Groove Width 8 mm), 1-Row Groove, Reversing Bracket With Protrusion</t>
  </si>
  <si>
    <t>Connecting Bracket set</t>
  </si>
  <si>
    <t>CHBLFSN6</t>
  </si>
  <si>
    <t>Surface Treatment = Baked-on Finish (Silver)</t>
  </si>
  <si>
    <t>Cover Mounting Hole Addition Work = Not Provided</t>
  </si>
  <si>
    <t>Accessories = Not Provided</t>
  </si>
  <si>
    <t>Hexagon Socket Head Cap Screws</t>
  </si>
  <si>
    <t>Screw</t>
  </si>
  <si>
    <t>CBM6-12</t>
  </si>
  <si>
    <t>Type = Hex Socket Head Cap Screw</t>
  </si>
  <si>
    <t>Thread Dia. (mm) = 6</t>
  </si>
  <si>
    <t>Thread Length (mm) = 12</t>
  </si>
  <si>
    <t>Material = Steel</t>
  </si>
  <si>
    <t>Surface Treatment = Bright Crome Plating</t>
  </si>
  <si>
    <r>
      <rPr>
        <sz val="11"/>
        <color theme="1"/>
        <rFont val="Calibri"/>
        <family val="2"/>
        <scheme val="minor"/>
      </rPr>
      <t>6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100 pieces</t>
    </r>
    <r>
      <rPr>
        <sz val="11"/>
        <color theme="1"/>
        <rFont val="Noto Sans SC Regular"/>
        <family val="2"/>
      </rPr>
      <t>】</t>
    </r>
  </si>
  <si>
    <t>T Nut</t>
  </si>
  <si>
    <t>PACK-HNTT6-6</t>
  </si>
  <si>
    <t>Thread Nominal M (mm) = M6</t>
  </si>
  <si>
    <t>Threadlocker = Not Provided</t>
  </si>
  <si>
    <t>Sale Type = Bulk Packages</t>
  </si>
  <si>
    <t>Pads for Aluminium Extrusions</t>
  </si>
  <si>
    <t>End cap</t>
  </si>
  <si>
    <t>HFPD6-3030</t>
  </si>
  <si>
    <t>Type = HFPD6-3030</t>
  </si>
  <si>
    <t>6 Series / Frame End Caps</t>
  </si>
  <si>
    <t>HFC6-3090-B</t>
  </si>
  <si>
    <t>Cap Shape = Rectangle</t>
  </si>
  <si>
    <t>Extrusion Size = 3090</t>
  </si>
  <si>
    <t>Resin = Polyamide</t>
  </si>
  <si>
    <t xml:space="preserve">Color = Black </t>
  </si>
  <si>
    <t>Slot Width 8mm / Flat Frame / No Flange / 1-Side Slot Type</t>
  </si>
  <si>
    <t>Conveyor side bar</t>
  </si>
  <si>
    <t>HFSPURE6-1220-2500</t>
  </si>
  <si>
    <t>Extrusion Size: Width (mm) = 20</t>
  </si>
  <si>
    <t>Overall Length L (mm) = 2500</t>
  </si>
  <si>
    <t>Slot Width 8mm / Flat Aluminium Extrusions / With Shoulder</t>
  </si>
  <si>
    <t>Slider</t>
  </si>
  <si>
    <t>HFSFIN6-1554-1000</t>
  </si>
  <si>
    <t>Extrusion Size: Width (mm) = 54</t>
  </si>
  <si>
    <t>Overall Length L (mm) = 1000</t>
  </si>
  <si>
    <t>5 Series / slot width 6 / 20x40mm</t>
  </si>
  <si>
    <t>Slider holder and pick and place</t>
  </si>
  <si>
    <t>HFS5-2040-1500</t>
  </si>
  <si>
    <t>Overall Length L (mm) = 1500</t>
  </si>
  <si>
    <t>5 Series / Frame End Caps</t>
  </si>
  <si>
    <t>End Cap</t>
  </si>
  <si>
    <t>HFCL5-2040-B</t>
  </si>
  <si>
    <t>Extrusion Size = 2040</t>
  </si>
  <si>
    <t>Resin = Low-Density Polyethene</t>
  </si>
  <si>
    <t>CBM5-8</t>
  </si>
  <si>
    <t>Thread Dia. (mm) = 5</t>
  </si>
  <si>
    <t>Thread Length (mm) = 8</t>
  </si>
  <si>
    <r>
      <rPr>
        <sz val="11"/>
        <color theme="1"/>
        <rFont val="Calibri"/>
        <family val="2"/>
        <scheme val="minor"/>
      </rPr>
      <t>5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100 pieces</t>
    </r>
    <r>
      <rPr>
        <sz val="11"/>
        <color theme="1"/>
        <rFont val="Noto Sans SC Regular"/>
        <family val="2"/>
      </rPr>
      <t>】</t>
    </r>
  </si>
  <si>
    <t>HNTT5-5</t>
  </si>
  <si>
    <t>Thread Nominal M (mm) = M5</t>
  </si>
  <si>
    <t>Sale Type = Single Item</t>
  </si>
  <si>
    <t>Din Rail</t>
  </si>
  <si>
    <t xml:space="preserve">For terminal block mounting </t>
  </si>
  <si>
    <t>NS35-7.5-1000</t>
  </si>
  <si>
    <t>Characteristics = Preferred Size Product</t>
  </si>
  <si>
    <t>Size Width (mm) = 1000</t>
  </si>
  <si>
    <t>Sizes Vertical (mm) = 35</t>
  </si>
  <si>
    <t>Screw Size =M6</t>
  </si>
  <si>
    <t>Dimensions Thickness / Depth (mm) =7.5</t>
  </si>
  <si>
    <t>Round cylinder, DSNU Series</t>
  </si>
  <si>
    <t>Cylinder</t>
  </si>
  <si>
    <t>DSNU-8-100-P-A</t>
  </si>
  <si>
    <t>Landefeld</t>
  </si>
  <si>
    <t>New</t>
  </si>
  <si>
    <t>RS Components</t>
  </si>
  <si>
    <t>Stroke: L (mm) = 100</t>
  </si>
  <si>
    <t>Piston diameter (mm) = 8</t>
  </si>
  <si>
    <t>Pneumatic connection = M5</t>
  </si>
  <si>
    <t>Piston rod thread = M4</t>
  </si>
  <si>
    <t>Proximity sensor, SMT Series</t>
  </si>
  <si>
    <t>Read switch</t>
  </si>
  <si>
    <t>SMT-8M-A-PS-24V-E-2.5-OE</t>
  </si>
  <si>
    <t>Design = for T-Slot</t>
  </si>
  <si>
    <t>DC operating voltage range (V) = 5-30</t>
  </si>
  <si>
    <t>Switching output = PNP</t>
  </si>
  <si>
    <t>Cable length (m) = 2.5</t>
  </si>
  <si>
    <t xml:space="preserve">Mounting kit, SMBR Series </t>
  </si>
  <si>
    <t>Read switch mounting bracket</t>
  </si>
  <si>
    <t>SMBR-8-8</t>
  </si>
  <si>
    <t>Size = 8</t>
  </si>
  <si>
    <t>One-way flow control valve, GRLA Series</t>
  </si>
  <si>
    <t>Flow control valve</t>
  </si>
  <si>
    <t>GRLA-M5-QS-4-D</t>
  </si>
  <si>
    <t>Seals material = NBR</t>
  </si>
  <si>
    <t>Pneumatic connection 1 = Qs-4</t>
  </si>
  <si>
    <t>Pneumatic connection 2 = M5</t>
  </si>
  <si>
    <t>Push-in fitting, QSM Series</t>
  </si>
  <si>
    <t>Push in fitting</t>
  </si>
  <si>
    <t>QSM-M5-4</t>
  </si>
  <si>
    <t>Pneumatic connection 1 = External thread M5</t>
  </si>
  <si>
    <t>Pneumatic connection 2 = for 4mm tube</t>
  </si>
  <si>
    <t>Pack size = 10</t>
  </si>
  <si>
    <t xml:space="preserve">Pneumatic muffler, AMTE Series </t>
  </si>
  <si>
    <t>Silencer</t>
  </si>
  <si>
    <t>AMTE-M-LH-M5</t>
  </si>
  <si>
    <t>Pack size = 20</t>
  </si>
  <si>
    <t>Flow rate with respect to atmosphere (l/min) = 225</t>
  </si>
  <si>
    <r>
      <rPr>
        <sz val="11"/>
        <color theme="1"/>
        <rFont val="Calibri"/>
        <family val="2"/>
        <scheme val="minor"/>
      </rPr>
      <t>Plastic tubing, PUN Series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500 pieces</t>
    </r>
    <r>
      <rPr>
        <sz val="11"/>
        <color theme="1"/>
        <rFont val="Noto Sans SC Regular"/>
        <family val="2"/>
      </rPr>
      <t>】</t>
    </r>
  </si>
  <si>
    <t>Tube</t>
  </si>
  <si>
    <t>PUN-H-4X0.75-NT</t>
  </si>
  <si>
    <t>Outer Diameter D (Ø) = 4</t>
  </si>
  <si>
    <t>Inner Diameter d (Ø) = 2.6</t>
  </si>
  <si>
    <t>Product type = Hydrolysis-resistance</t>
  </si>
  <si>
    <t>Tube Blue</t>
  </si>
  <si>
    <t>PUN-H-4X0.75-BL</t>
  </si>
  <si>
    <t>Tube Black</t>
  </si>
  <si>
    <t>PUN-H-4X0.75-SW</t>
  </si>
  <si>
    <t>Multiple distributor, QSQ Series</t>
  </si>
  <si>
    <t>Distributer 4 mm</t>
  </si>
  <si>
    <t>QSQ-6-4</t>
  </si>
  <si>
    <t xml:space="preserve">8 Series / Post-Assembly Insertion Nuts </t>
  </si>
  <si>
    <t>M6 8 series</t>
  </si>
  <si>
    <t>HNTF8-6</t>
  </si>
  <si>
    <t>M6-14</t>
  </si>
  <si>
    <t>CBM6-14</t>
  </si>
  <si>
    <t xml:space="preserve">8 Series / slot width 10 / 80x80mm </t>
  </si>
  <si>
    <t>Extrusion</t>
  </si>
  <si>
    <t>HFS8-8080-1000</t>
  </si>
  <si>
    <t xml:space="preserve">8 Series / Frame End Caps </t>
  </si>
  <si>
    <t>HFC8-8080-B</t>
  </si>
  <si>
    <t>5 Series / Post-Assembly Insertion Spring Nuts</t>
  </si>
  <si>
    <t>Post assembly nut</t>
  </si>
  <si>
    <t>HNTP5-4</t>
  </si>
  <si>
    <t>M4 8 series</t>
  </si>
  <si>
    <t>HNTF8-4</t>
  </si>
  <si>
    <t>Hex Socket Head Bolt</t>
  </si>
  <si>
    <t>M4-8</t>
  </si>
  <si>
    <t>CSS-04-08</t>
  </si>
  <si>
    <t>Hexagon Socket Head Cap Screws Flat / Steel, Stainless Steel</t>
  </si>
  <si>
    <t>M3-10</t>
  </si>
  <si>
    <t>HFBCM3-10</t>
  </si>
  <si>
    <t>Conveyor Sensor Brackets / Post-Assembly Insertion Nuts For Sensors</t>
  </si>
  <si>
    <t>BFCBN40-6</t>
  </si>
  <si>
    <t>M3</t>
  </si>
  <si>
    <t>HNTP5-3</t>
  </si>
  <si>
    <t>8 Series / Post-Assembly Insertion Short Nuts【1 to 100 pieces】</t>
  </si>
  <si>
    <t>HNTAJ8-3</t>
  </si>
  <si>
    <t>8 Series / Post-Assembly Insertion Spring Nuts</t>
  </si>
  <si>
    <t>M5</t>
  </si>
  <si>
    <t>HNTP8-5</t>
  </si>
  <si>
    <t>M3x35</t>
  </si>
  <si>
    <t>CBM3-35</t>
  </si>
  <si>
    <t xml:space="preserve">Hexagon Socket Head Cap Screws </t>
  </si>
  <si>
    <t>M4x22</t>
  </si>
  <si>
    <t>CBM4-22</t>
  </si>
  <si>
    <t>M5x18</t>
  </si>
  <si>
    <t>CBM5-18</t>
  </si>
  <si>
    <t>M6x30</t>
  </si>
  <si>
    <t>CBM6-30</t>
  </si>
  <si>
    <t xml:space="preserve">5 Series / Angular 45 / 135 degree Angle / 2 Slots </t>
  </si>
  <si>
    <t>Angle bracket</t>
  </si>
  <si>
    <t>HBL45TD5</t>
  </si>
  <si>
    <t xml:space="preserve">Wiring Duct (with Upper Slit / Low Cost) </t>
  </si>
  <si>
    <t>MD-1.5L-R</t>
  </si>
  <si>
    <t xml:space="preserve">Air solenoid valve, VUVG Series </t>
  </si>
  <si>
    <t>Valve</t>
  </si>
  <si>
    <t>VUVG-L10-M52-MT-M5-1H2L-W1</t>
  </si>
  <si>
    <t>MUE-70/80 (558043) Profile mounting</t>
  </si>
  <si>
    <t>Profile Mounting</t>
  </si>
  <si>
    <t>MUE-70/80 (558043)</t>
  </si>
  <si>
    <t>Digikey</t>
  </si>
  <si>
    <t>ADVC-6-10-APA (188065) ​​short stroke cylinder</t>
  </si>
  <si>
    <t>Short stroke cylinder</t>
  </si>
  <si>
    <t>ADVC-6-10-APA (188065)</t>
  </si>
  <si>
    <t>SP spare part</t>
  </si>
  <si>
    <t>Fluidics</t>
  </si>
  <si>
    <t>NEBA-M8G3-U-2.5-N-LE3 (8078223) Connecting cable</t>
  </si>
  <si>
    <t>Connecting cable</t>
  </si>
  <si>
    <t>NEBA-M8G3-U-2.5-N-LE3 (8078223)</t>
  </si>
  <si>
    <t>QSML-M3-4 (153332) L-shaped push-in fitting</t>
  </si>
  <si>
    <t>M3 fitting</t>
  </si>
  <si>
    <t>QSML-M3-4 (153332)</t>
  </si>
  <si>
    <t>SP Spareparts</t>
  </si>
  <si>
    <t>QS-G1/4-8-50 (132040) Push-in fitting</t>
  </si>
  <si>
    <t>QS-G1/4-8-50</t>
  </si>
  <si>
    <t>QSQ-8-6 (153210) Multi-distributor</t>
  </si>
  <si>
    <t>QSQ-8-6 (153210)</t>
  </si>
  <si>
    <t>PUN-H-8X1.25-BL (197385) Plastic hose</t>
  </si>
  <si>
    <t>8mm tube</t>
  </si>
  <si>
    <t>PUN-H-8X1.25-BL</t>
  </si>
  <si>
    <t>Conrad</t>
  </si>
  <si>
    <t>PUN-H-6X1-BL (197384) Plastic hose</t>
  </si>
  <si>
    <t>6 mm tube</t>
  </si>
  <si>
    <t>PUN-H-6X1-BL</t>
  </si>
  <si>
    <t>QSML-M5-4 (153333) L-shaped push-in fitting</t>
  </si>
  <si>
    <t>L fitting</t>
  </si>
  <si>
    <t>QSML-M5-4</t>
  </si>
  <si>
    <t>QSC-4H-100 (130699) blind plug</t>
  </si>
  <si>
    <t>QSC-4H-100</t>
  </si>
  <si>
    <t>QSC-6H-100 (130700) blind plug</t>
  </si>
  <si>
    <t>QSC-6H-100</t>
  </si>
  <si>
    <t>TK-3 SMC hose cutter</t>
  </si>
  <si>
    <t>OT-SMC064162</t>
  </si>
  <si>
    <t>Sick WTB4-3P2161 1028099 Photoelectric Sensor</t>
  </si>
  <si>
    <t>Sensor</t>
  </si>
  <si>
    <t>WTB4-3P2161 1028099</t>
  </si>
  <si>
    <t>Wiautomation</t>
  </si>
  <si>
    <t>Festo EMMS-ST-57-M-SE-G2 1370479</t>
  </si>
  <si>
    <t>Motor</t>
  </si>
  <si>
    <t>EMMS-ST-57-M-SE-G2 1370479</t>
  </si>
  <si>
    <t>High</t>
  </si>
  <si>
    <t>Used</t>
  </si>
  <si>
    <t>Landfeld</t>
  </si>
  <si>
    <t>Festo 8084004 CMMT-ST-C8-1C-PN-S0 Servo</t>
  </si>
  <si>
    <t>Drive</t>
  </si>
  <si>
    <t>CMMT-ST-C8-1C-PN-S0 8084004</t>
  </si>
  <si>
    <t>Festo NEBM-M12W8-E-2.5-LE8 1451675 Encoder Cable New</t>
  </si>
  <si>
    <t>Encoder cable</t>
  </si>
  <si>
    <t>NEBM-M12W8-E-2.5-LE8</t>
  </si>
  <si>
    <t>HIgh</t>
  </si>
  <si>
    <t>Festo NEBM-S1W9-E-7-Q5-LE6 1450739 Motor cable</t>
  </si>
  <si>
    <t>Motor cable</t>
  </si>
  <si>
    <t>NEBM-S1W9-E-7-Q5-LE6</t>
  </si>
  <si>
    <t>Festo EGC-80-700-TB-KF-0H-GK 556814 Toothed Belt Axis</t>
  </si>
  <si>
    <t>Toothed Belt Axis</t>
  </si>
  <si>
    <t>EGC-80-700-TB-KF-0H-GK 556814</t>
  </si>
  <si>
    <t>PTS</t>
  </si>
  <si>
    <t>Festo DHRS-25-A 1310162 Radial Gripper</t>
  </si>
  <si>
    <t>Gripper</t>
  </si>
  <si>
    <t>DHRS-25-A</t>
  </si>
  <si>
    <t>Festo DGSL-12-50-Y3A 543979 Mini Schlitten</t>
  </si>
  <si>
    <t>DGSL-12-50-Y3A</t>
  </si>
  <si>
    <t>Siemens 6GK5208-0GA00-2AC2 Scalance 6GK5 208-0GA00-2AC2 XC200G Ethernet Switch</t>
  </si>
  <si>
    <t>Ethernet Switch</t>
  </si>
  <si>
    <t>6GK5208-0GA00-2AC2</t>
  </si>
  <si>
    <t xml:space="preserve">Link </t>
  </si>
  <si>
    <t>6ES7215-1AG40-0XB0 Siemens</t>
  </si>
  <si>
    <t>PLC</t>
  </si>
  <si>
    <t>6ES7215-1AG40-0XB0</t>
  </si>
  <si>
    <t>Siemens 6ES76470BA001YA2 Simatic IOT2050</t>
  </si>
  <si>
    <t>Edge Gateway</t>
  </si>
  <si>
    <t>6ES7647-0BA00-1YA2</t>
  </si>
  <si>
    <t>6GK5615-0AA00-2AA2 Siemens</t>
  </si>
  <si>
    <t>Scalance S615</t>
  </si>
  <si>
    <t>6GK5615-0AA00-2AA2</t>
  </si>
  <si>
    <t>Signal light, red/yellow/green, LED, 24 V AC/DC</t>
  </si>
  <si>
    <t>Tower lamp</t>
  </si>
  <si>
    <t>HBJD-D3RYG24B</t>
  </si>
  <si>
    <t>Pushbutton, 1 normally open contact, momentary</t>
  </si>
  <si>
    <t>Push button green</t>
  </si>
  <si>
    <t>XB5AA31</t>
  </si>
  <si>
    <t>Push button, 1 normally open contact, momentary</t>
  </si>
  <si>
    <t>Push button red</t>
  </si>
  <si>
    <t>XB4BA42</t>
  </si>
  <si>
    <t>Selector switch, 22 mm, 2 positions, latching, 2 normally open contacts</t>
  </si>
  <si>
    <t>selector switch</t>
  </si>
  <si>
    <t>XB5AD23</t>
  </si>
  <si>
    <t>Aufbaugehäuse, Not-Halt / Not-Aus, 1 Schließer/1 Öffner für Ø 22</t>
  </si>
  <si>
    <t>Emergency switch</t>
  </si>
  <si>
    <t>XALK178E</t>
  </si>
  <si>
    <t>Empty housing, 3 holes, 68 x 136 x 53 mm</t>
  </si>
  <si>
    <t>box</t>
  </si>
  <si>
    <t>XALD03</t>
  </si>
  <si>
    <t>Feed-through terminal, PT 2.5 grey</t>
  </si>
  <si>
    <t xml:space="preserve">Terminal block </t>
  </si>
  <si>
    <t>PT 2.5</t>
  </si>
  <si>
    <t>Wire end ferrule set, 200 pieces, 0.14 - 0.5 mm²</t>
  </si>
  <si>
    <t>lug</t>
  </si>
  <si>
    <t>QUAD 2010C392</t>
  </si>
  <si>
    <t>Assortment of insulated wire ferrules 0.5 - 2.5 mm²</t>
  </si>
  <si>
    <t>AEH RANGE 2</t>
  </si>
  <si>
    <t>Patch cable RJ45 Cat.6A S/FTP 1 m green</t>
  </si>
  <si>
    <t>Ethernet Cable</t>
  </si>
  <si>
    <t>BTR 1308451055-E</t>
  </si>
  <si>
    <t>Megatech</t>
  </si>
  <si>
    <t>Filament, PLA, M0751 black, 750 g</t>
  </si>
  <si>
    <t>Filament,</t>
  </si>
  <si>
    <t>ULTIMAKER 74555</t>
  </si>
  <si>
    <t>Filament, Tough, PLA, M0777, white, 750 g</t>
  </si>
  <si>
    <t>ULTIMAKER 77662</t>
  </si>
  <si>
    <t>Motor Forward Reverse Controller</t>
  </si>
  <si>
    <t>Controller</t>
  </si>
  <si>
    <t>TKS-M8</t>
  </si>
  <si>
    <t>Amazon</t>
  </si>
  <si>
    <t>Siemens 6EP3436-8SB00-0AY0 Sitop 6EP3 436-8SB00-0AY0 PSU8200 Power Supply</t>
  </si>
  <si>
    <t>SMPS</t>
  </si>
  <si>
    <t>6EP3436-8SB00-0AY0</t>
  </si>
  <si>
    <t>cable tie holder</t>
  </si>
  <si>
    <t>151-24850</t>
  </si>
  <si>
    <t>Farnell</t>
  </si>
  <si>
    <t>cable tie</t>
  </si>
  <si>
    <t>118-04900</t>
  </si>
  <si>
    <t>Connectors and cables: Sensor-actuator cables</t>
  </si>
  <si>
    <t>Cable</t>
  </si>
  <si>
    <t>YG8U13-010VA1XLEAX</t>
  </si>
  <si>
    <t>Sick</t>
  </si>
  <si>
    <t>TME</t>
  </si>
  <si>
    <t xml:space="preserve">Limit switch </t>
  </si>
  <si>
    <t>540-DC1C-A1RB</t>
  </si>
  <si>
    <t>Mouser</t>
  </si>
  <si>
    <t>Igus e-chain Black, 30mm x 10.5 mm Igumid G, Length 1 m 38 mm</t>
  </si>
  <si>
    <t>Drag chain</t>
  </si>
  <si>
    <t>720-2777</t>
  </si>
  <si>
    <t>Silent Compressor SAC55753</t>
  </si>
  <si>
    <t>Compressor</t>
  </si>
  <si>
    <t>SAC55753</t>
  </si>
  <si>
    <t>Hyundai</t>
  </si>
  <si>
    <t>Profishop</t>
  </si>
  <si>
    <t>Kaufland</t>
  </si>
  <si>
    <t>Schneider Electric circuit breaker - A9N61508</t>
  </si>
  <si>
    <t>10A 1P</t>
  </si>
  <si>
    <t>A9N61508</t>
  </si>
  <si>
    <t>Tameson</t>
  </si>
  <si>
    <t>Schneider Electric circuit breaker - A9F78216</t>
  </si>
  <si>
    <t>16A MCB 2P</t>
  </si>
  <si>
    <t>A9F78216</t>
  </si>
  <si>
    <t>Raspberry Pi 5 Starter Kit, 64GB microSDHC including Pi OS, case, power supply</t>
  </si>
  <si>
    <t>Raspberry pi 5 4 GB</t>
  </si>
  <si>
    <t>BerryBase</t>
  </si>
  <si>
    <t>Supplier 1</t>
  </si>
  <si>
    <t>Supplier 2</t>
  </si>
  <si>
    <t>Supplier 3</t>
  </si>
  <si>
    <t>Supplier 4</t>
  </si>
  <si>
    <t>Misumi</t>
  </si>
  <si>
    <t>Druckluft</t>
  </si>
  <si>
    <t>Kinetik</t>
  </si>
  <si>
    <t>Rubix</t>
  </si>
  <si>
    <t>IndustryMall</t>
  </si>
  <si>
    <t>reichelt</t>
  </si>
  <si>
    <t>3d Prima</t>
  </si>
  <si>
    <t>3dmension</t>
  </si>
  <si>
    <t>HellermannTyton screw fixing KR mounting base, nylon 6.6 black 18 mm x 6 mm cable ties x 12 mm for 4.5 mm</t>
  </si>
  <si>
    <t>HellermannTyton T30LOS Nylon 6.6 Cable Ties Non-releasable Black 3.4mm x 200 mm</t>
  </si>
  <si>
    <t>Non-standard parts and different suppliers have different specifications; the specification details can be found in the specification column. So not possible to get 3 suppliers for the same part.</t>
  </si>
  <si>
    <t>Supplier not available for the same 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</si>
</sst>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rgb="FF333333"/>
      <name val="Arial"/>
      <family val="2"/>
      <charset val="1"/>
    </font>
    <font>
      <sz val="10"/>
      <color rgb="FF333333"/>
      <name val="Arial"/>
      <family val="2"/>
      <charset val="1"/>
    </font>
    <font>
      <sz val="11"/>
      <color theme="1"/>
      <name val="Noto Sans SC Regular"/>
      <family val="2"/>
    </font>
    <font>
      <b/>
      <sz val="10"/>
      <color rgb="FF333333"/>
      <name val="Arial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2" fillId="0" borderId="1" xfId="1" applyFill="1" applyBorder="1" applyAlignment="1" applyProtection="1">
      <alignment vertical="center"/>
    </xf>
    <xf numFmtId="2" fontId="0" fillId="0" borderId="1" xfId="0" applyNumberFormat="1" applyBorder="1" applyAlignment="1">
      <alignment vertical="center"/>
    </xf>
    <xf numFmtId="0" fontId="2" fillId="0" borderId="1" xfId="1" applyFill="1" applyBorder="1" applyAlignment="1">
      <alignment vertical="center"/>
    </xf>
    <xf numFmtId="0" fontId="0" fillId="0" borderId="1" xfId="0" applyBorder="1" applyAlignment="1">
      <alignment horizontal="left"/>
    </xf>
    <xf numFmtId="0" fontId="2" fillId="0" borderId="1" xfId="1" applyFill="1" applyBorder="1" applyProtection="1"/>
    <xf numFmtId="2" fontId="0" fillId="0" borderId="1" xfId="0" applyNumberFormat="1" applyBorder="1"/>
    <xf numFmtId="0" fontId="2" fillId="0" borderId="1" xfId="1" applyFill="1" applyBorder="1"/>
    <xf numFmtId="0" fontId="4" fillId="0" borderId="1" xfId="1" applyFont="1" applyFill="1" applyBorder="1" applyAlignment="1" applyProtection="1">
      <alignment horizontal="center" vertical="center"/>
    </xf>
    <xf numFmtId="0" fontId="2" fillId="0" borderId="1" xfId="1" applyBorder="1" applyProtection="1"/>
    <xf numFmtId="2" fontId="0" fillId="0" borderId="0" xfId="0" applyNumberFormat="1"/>
    <xf numFmtId="0" fontId="0" fillId="0" borderId="2" xfId="0" applyBorder="1"/>
    <xf numFmtId="0" fontId="0" fillId="0" borderId="5" xfId="0" applyBorder="1"/>
    <xf numFmtId="0" fontId="3" fillId="2" borderId="9" xfId="0" applyFont="1" applyFill="1" applyBorder="1" applyAlignment="1">
      <alignment horizontal="left" vertical="center"/>
    </xf>
    <xf numFmtId="2" fontId="3" fillId="2" borderId="10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2" fillId="0" borderId="12" xfId="1" applyFill="1" applyBorder="1" applyProtection="1"/>
    <xf numFmtId="0" fontId="0" fillId="0" borderId="12" xfId="0" applyBorder="1"/>
    <xf numFmtId="2" fontId="0" fillId="0" borderId="13" xfId="0" applyNumberFormat="1" applyBorder="1" applyAlignment="1">
      <alignment vertical="center"/>
    </xf>
    <xf numFmtId="0" fontId="0" fillId="0" borderId="14" xfId="0" applyBorder="1"/>
    <xf numFmtId="0" fontId="3" fillId="2" borderId="10" xfId="0" applyFont="1" applyFill="1" applyBorder="1" applyAlignment="1">
      <alignment horizontal="center" vertical="center"/>
    </xf>
    <xf numFmtId="2" fontId="0" fillId="0" borderId="10" xfId="0" applyNumberForma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12" xfId="1" applyFill="1" applyBorder="1" applyAlignment="1" applyProtection="1">
      <alignment vertical="center"/>
    </xf>
    <xf numFmtId="0" fontId="0" fillId="0" borderId="12" xfId="0" applyBorder="1" applyAlignment="1">
      <alignment vertical="center"/>
    </xf>
    <xf numFmtId="2" fontId="0" fillId="0" borderId="13" xfId="0" applyNumberFormat="1" applyBorder="1"/>
    <xf numFmtId="0" fontId="0" fillId="0" borderId="12" xfId="0" applyBorder="1" applyAlignment="1">
      <alignment horizontal="left"/>
    </xf>
    <xf numFmtId="0" fontId="0" fillId="0" borderId="10" xfId="0" applyBorder="1"/>
    <xf numFmtId="0" fontId="0" fillId="0" borderId="13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andefeld.de/artikel/de/dgsl-12-50-y3a-543979-mini-schlitten/OT-FESTO025213?campaign=GO_SH_Festo_DE&amp;gad_source=1&amp;gad_campaignid=21820866894&amp;gbraid=0AAAAAD_cjCO8K3FDHnINzMYTA3VBo2t53&amp;gclid=Cj0KCQjwlLDQBhDjARIsAPlIefECkxzhsr25i3mUK7GDoFfmO255vw5Q8XH_clOXWdhqBWKawdfm1AUaAuUaEALw_wcB" TargetMode="External"/><Relationship Id="rId21" Type="http://schemas.openxmlformats.org/officeDocument/2006/relationships/hyperlink" Target="https://uk.misumi-ec.com/vona2/detail/221302434090/?PNSearch=PUN-H-4X0.75-NT&amp;HissuCode=PUN-H-4X0.75-NT&amp;Keyword=PUN-H-4X0.75-NT&amp;list=SuggestPreview&amp;searchFlow=suggest2products" TargetMode="External"/><Relationship Id="rId42" Type="http://schemas.openxmlformats.org/officeDocument/2006/relationships/hyperlink" Target="https://uk.misumi-ec.com/vona2/detail/110400152740/?PNSearch=MD-1.5L-R&amp;HissuCode=MD-1.5L-R&amp;Keyword=MD-1.5L-R&amp;list=SuggestPreview&amp;searchFlow=suggest2products" TargetMode="External"/><Relationship Id="rId63" Type="http://schemas.openxmlformats.org/officeDocument/2006/relationships/hyperlink" Target="https://de.rs-online.com/web/p/pneumatische-anschlusse/2024298?cm_mmc=DE-PLA-DS3A-_-google-_-CSS_DE_DE_PMAX_Catch+All-_--_-2024298&amp;matchtype=&amp;&amp;gclsrc=aw.ds&amp;gad_source=1&amp;gad_campaignid=20579356490&amp;gbraid=0AAAAADkeWNN8WGJeOBC4rQWXkfI-NsoA2&amp;gclid=Cj0KCQjwlLDQBhDjARIsAPlIefF9pjpla34R8EY6Oo5nTU0eYfiXiB9jJork2d_xlycVz2oa9GqDJ_kaAi2BEALw_wcB" TargetMode="External"/><Relationship Id="rId84" Type="http://schemas.openxmlformats.org/officeDocument/2006/relationships/hyperlink" Target="https://www.google.com/search?q=NEBA-M8G3-U-2.5-N-LE3&amp;sca_esv=78c86333cbc36880&amp;rlz=1C1VDKB_enIN1041IN1041&amp;biw=1920&amp;bih=911&amp;sxsrf=ANbL-n6rWBfLjlOjRfw2gRh_DUzwVI4p5g%3A1779286338352&amp;ei=QsENaoyXFYm6i-gPgKX18Qw&amp;ved=0ahUKEwiMwJqRhsiUAxUJ3QIHHYBSPc4Q4dUDCBI&amp;uact=5&amp;oq=NEBA-M8G3-U-2.5-N-LE3&amp;gs_lp=Egxnd3Mtd2l6LXNlcnAiFU5FQkEtTThHMy1VLTIuNS1OLUxFMzIFEAAYgARItgZQAFgAcAB4AJABAJgBlgGgAZYBqgEDMC4xuAEDyAEA-AEC-AEBmAIBoAKaAZgDAJIHAzAuMaAHcbIHAzAuMbgHmgHCBwMwLjHIBwKACAE&amp;sclient=gws-wiz-serp" TargetMode="External"/><Relationship Id="rId138" Type="http://schemas.openxmlformats.org/officeDocument/2006/relationships/hyperlink" Target="https://www.amazon.de/-/en/Forward-Reverse-Controller-TKS-M8-Control/dp/B09SPRMCBW/ref=pd_sbs_d_sccl_2_1/259-3627213-4013163?pd_rd_w=aQjpH&amp;content-id=amzn1.sym.a3262f15-f867-491e-909e-9c5989acfe7d&amp;pf_rd_p=a3262f15-f867-491e-909e-9c5989acfe7d&amp;pf_rd_r=SJ3D7" TargetMode="External"/><Relationship Id="rId159" Type="http://schemas.openxmlformats.org/officeDocument/2006/relationships/hyperlink" Target="https://www.conrad.de/de/p/schneider-electric-a9f03216-a9f03216-leitungsschutzschalter-16-a-400-v-1860465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70" Type="http://schemas.openxmlformats.org/officeDocument/2006/relationships/hyperlink" Target="https://www.landefeld.de/artikel/de/qsml-m5-4-153333-l-steckverschraubung/OT-FESTO015398?campaign=GO_SH_landefeld_fallback_DACH&amp;gad_source=1&amp;gad_campaignid=21660067325&amp;gbraid=0AAAAAD_cjCPh3ZwTs6G-ulZdDOOG1GFOm&amp;gclid=Cj0KCQjw-pHPBhCdARIsAHXYWP_MUbvMRfIBu_T" TargetMode="External"/><Relationship Id="rId191" Type="http://schemas.openxmlformats.org/officeDocument/2006/relationships/hyperlink" Target="https://de.wiautomation.com/siemens/plc-systems/simatic-s7/s7-1200/6ES72151AG400XB0" TargetMode="External"/><Relationship Id="rId107" Type="http://schemas.openxmlformats.org/officeDocument/2006/relationships/hyperlink" Target="https://de.wiautomation.com/festo/general-automation/1450945-festo-nebm-s1w15-e-5-q7-le6" TargetMode="External"/><Relationship Id="rId11" Type="http://schemas.openxmlformats.org/officeDocument/2006/relationships/hyperlink" Target="https://uk.misumi-ec.com/vona2/detail/110300440510/?PNSearch=HFCL5-2040-B&amp;HissuCode=HFCL5-2040-B&amp;Keyword=HFCL5-2040-B&amp;list=SuggestPreview&amp;searchFlow=suggest2products" TargetMode="External"/><Relationship Id="rId32" Type="http://schemas.openxmlformats.org/officeDocument/2006/relationships/hyperlink" Target="https://uk.misumi-ec.com/vona2/detail/110300463610/?PNSearch=HFBCM3-10&amp;HissuCode=HFBCM3-10&amp;Keyword=HFBCM3-10&amp;list=SuggestPreview&amp;searchFlow=suggest2products" TargetMode="External"/><Relationship Id="rId53" Type="http://schemas.openxmlformats.org/officeDocument/2006/relationships/hyperlink" Target="https://de.rs-online.com/web/p/pneumatische-kolbenzylinder/2021730?cm_mmc=DE-PLA-DS3A-_-google-_-CSS_DE_DE_PMAX_Catch+All-_--_-2021730&amp;matchtype=&amp;&amp;gclsrc=aw.ds&amp;gad_source=1&amp;gad_campaignid=20579356490&amp;gbraid=0AAAAADkeWNN8WGJeOBC4rQWXkfI-NsoA2&amp;gclid=Cj0KCQjwlLDQBhDjARIsAPlIefEf2DXZeVYSLSXGTb0UxB_FPKODL3kP29Q3kbYqQoH2NiaDWUqP04AaAmtsEALw_wcB" TargetMode="External"/><Relationship Id="rId74" Type="http://schemas.openxmlformats.org/officeDocument/2006/relationships/hyperlink" Target="https://www.landefeld.de/artikel/de/qsc-4h-100-130699-blindstopfen/OT-FESTO020038?campaign=GO_SH_landefeld_fallback_DACH&amp;gad_source=1&amp;gad_campaignid=21660067325&amp;gbraid=0AAAAAD_cjCPh3ZwTs6G-ulZdDOOG1GFOm&amp;gclid=Cj0KCQjw-pHPBhCdARIsAHXYWP-VdyomduuHw1jUPyBIo_" TargetMode="External"/><Relationship Id="rId128" Type="http://schemas.openxmlformats.org/officeDocument/2006/relationships/hyperlink" Target="https://www.reichelt.de/de/de/shop/produkt/aderendhuelsen-set_200_stueck_0_14_-_0_5_mm_-360588?PROVID=2788&amp;gad_source=1&amp;gad_campaignid=19009429412&amp;gbraid=0AAAAADwnxtYz79-ChOH9YwxlOCRicg20C&amp;gclid=Cj0KCQjw-pHPBhCdARIsAHXYWP-QTrOBwf-4jUPgJzkDR4DUeKZJlHzHwljz" TargetMode="External"/><Relationship Id="rId149" Type="http://schemas.openxmlformats.org/officeDocument/2006/relationships/hyperlink" Target="https://de.rs-online.com/web/p/kabelkanale/7202777?cm_mmc=DE-PLA-DS3A-_-google-_-CSS_DE_DE_PMAX_Catch+All-_--_-7202777&amp;matchtype=&amp;&amp;gclsrc=aw.ds&amp;gad_source=1&amp;gad_campaignid=20579356490&amp;gbraid=0AAAAADkeWNPD4_1QQU0aAU3qwbLbLzapd&amp;gclid=Cj0KCQjw-pHPBhCdARIsAHX" TargetMode="External"/><Relationship Id="rId5" Type="http://schemas.openxmlformats.org/officeDocument/2006/relationships/hyperlink" Target="https://uk.misumi-ec.com/vona2/detail/110302610850/?PNSearch=PACK-HNTT6-6&amp;HissuCode=PACK-HNTT6-6&amp;Keyword=PACK-HNTT6-6&amp;list=SuggestPreview&amp;searchFlow=suggest2products" TargetMode="External"/><Relationship Id="rId95" Type="http://schemas.openxmlformats.org/officeDocument/2006/relationships/hyperlink" Target="https://industrymall.de/en/plc/26358-siemens-6gk5208-0ga00-2ac2-6gk5-208-0ga00-2ac2-scalance-xc200g-ethernet-switchneu.html" TargetMode="External"/><Relationship Id="rId160" Type="http://schemas.openxmlformats.org/officeDocument/2006/relationships/hyperlink" Target="https://tameson.de/products/schneider-electric-leitungsschutzschalter-a9f78216-e33uh" TargetMode="External"/><Relationship Id="rId181" Type="http://schemas.openxmlformats.org/officeDocument/2006/relationships/hyperlink" Target="https://www.sp-spareparts.de/de/p/qsml-m3-4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E7cdoQUhuT14EL12lMTldDMpoRp_tda71ruBFY9biIxKW647Fsu4gaAnYcEALw_wcB" TargetMode="External"/><Relationship Id="rId22" Type="http://schemas.openxmlformats.org/officeDocument/2006/relationships/hyperlink" Target="https://uk.misumi-ec.com/vona2/detail/221302434090/?PNSearch=PUN-H-4X0.75-BL&amp;HissuCode=PUN-H-4X0.75-BL&amp;Keyword=PUN-H-4X0.75-BL&amp;list=SuggestPreview&amp;searchFlow=suggest2products" TargetMode="External"/><Relationship Id="rId43" Type="http://schemas.openxmlformats.org/officeDocument/2006/relationships/hyperlink" Target="https://uk.misumi-ec.com/vona2/detail/221302444518/?HissuCode=VUVG-L10-M52-MT-M5-1H2L-W1&amp;PNSearch=VUVG-L10-M52-MT-M5-1H2L-W1&amp;KWSearch=VUVG-L10-M52-MT-M5-1H2L-W1&amp;searchFlow=results2products&amp;list=PageSearchResult" TargetMode="External"/><Relationship Id="rId64" Type="http://schemas.openxmlformats.org/officeDocument/2006/relationships/hyperlink" Target="https://www.landefeld.de/artikel/de/smbr-8-8-175091-befestigungsbausatz/OT-FESTO001422?campaign=GO_SH_landefeld_fallback_DACH&amp;gad_source=1&amp;gad_campaignid=21660067325&amp;gbraid=0AAAAAD_cjCOrpskdWzB3VIDEfMQyp4ytG&amp;gclid=Cj0KCQjwlLDQBhDjARIsAPlIefFYejTFA6ao6gdd1nq5CFKVtYu_O-DZFVwOC2f-pz_7oyv9aKQX6pkaAhe0EALw_wcB" TargetMode="External"/><Relationship Id="rId118" Type="http://schemas.openxmlformats.org/officeDocument/2006/relationships/hyperlink" Target="https://de.rs-online.com/web/p/pneumatik-fuhrungszylinder/2039377?cm_mmc=DE-PLA-DS3A-_-google-_-CSS_DE_DE_PMAX_Catch+All-_--_-2039377&amp;matchtype=&amp;&amp;gclsrc=aw.ds&amp;gad_source=1&amp;gad_campaignid=20579356490&amp;gbraid=0AAAAADkeWNN8WGJeOBC4rQWXkfI-NsoA2&amp;gclid=Cj0KCQjwlLDQBhDjARIsAPlIefHXePBPFlB08IuqQtj88_-N3bzhbePpztHUNetTgZE4HNSR6bMCxCUaAj6mEALw_wcB" TargetMode="External"/><Relationship Id="rId139" Type="http://schemas.openxmlformats.org/officeDocument/2006/relationships/hyperlink" Target="https://www.sick.com/de/en/catalog/products/network-and-connection-technology/connectors-and-cables/sensor-actuator-cables/yg8u13-010va1xleax/p/p685406?tab=detail" TargetMode="External"/><Relationship Id="rId85" Type="http://schemas.openxmlformats.org/officeDocument/2006/relationships/hyperlink" Target="https://de.rs-online.com/web/p/rohrschneider/6679400?cm_mmc=DE-PLA-DS3A-_-google-_-CSS_DE_DE_PMAX_Catch+All-_--_-6679400&amp;matchtype=&amp;&amp;gclsrc=aw.ds&amp;gad_source=1&amp;gad_campaignid=20579356490&amp;gbraid=0AAAAADkeWNPdTZiUVBmW8Z72Bty8ilcTg&amp;gclid=CjwKCAjwt7XQBhBkEiwAtStpp-WQ8M_HDLZWT5AYOXYrdlq8aVvGq0jSl0PMWr1REGR5VFiuyT4ozBoCPrIQAvD_BwE" TargetMode="External"/><Relationship Id="rId150" Type="http://schemas.openxmlformats.org/officeDocument/2006/relationships/hyperlink" Target="https://www.conrad.de/de/p/hellermanntyton-kr8g5-hs-bk-c1-befestigungssockel-schraubbar-151-24850-hitzestabilisiert-schwarz-1-st-547866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71" Type="http://schemas.openxmlformats.org/officeDocument/2006/relationships/hyperlink" Target="https://www.sp-spareparts.de/de/p/pun-h-8x1-25-bl-1000-festo?_q=PUN-H-8X1.25-BL" TargetMode="External"/><Relationship Id="rId192" Type="http://schemas.openxmlformats.org/officeDocument/2006/relationships/hyperlink" Target="https://de.rs-online.com/web/p/sps-zentralbaugruppen/8624487?searchId=facb9e98-01b1-4065-aea5-b98a99e11e23" TargetMode="External"/><Relationship Id="rId12" Type="http://schemas.openxmlformats.org/officeDocument/2006/relationships/hyperlink" Target="https://uk.misumi-ec.com/vona2/detail/110302261370/?PNSearch=CBM5-8&amp;HissuCode=CBM5-8&amp;Keyword=CBM5-8&amp;list=SuggestPreview&amp;searchFlow=suggest2productshist" TargetMode="External"/><Relationship Id="rId33" Type="http://schemas.openxmlformats.org/officeDocument/2006/relationships/hyperlink" Target="https://uk.misumi-ec.com/vona2/detail/110302536310/?PNSearch=BFCBN40-6&amp;HissuCode=BFCBN40-6&amp;Keyword=BFCBN40-6&amp;list=SuggestPreview&amp;searchFlow=suggest2productshist" TargetMode="External"/><Relationship Id="rId108" Type="http://schemas.openxmlformats.org/officeDocument/2006/relationships/hyperlink" Target="https://www.pts-group.de/de/product/egc-70-800-tb-kf-0h-gk-zahnriemenachse?gad_source=1&amp;gad_campaignid=23529427665&amp;gbraid=0AAAAA_LrGo8BorwxIcppdAa-BSd-CZdNy&amp;gclid=Cj0KCQjwlLDQBhDjARIsAPlIefHzxlxhGHEhA9lUwkqf4oYBC4elBNDEfHc3XDc7he71sMnvvCw_j9UaAugsEALw_wcB" TargetMode="External"/><Relationship Id="rId129" Type="http://schemas.openxmlformats.org/officeDocument/2006/relationships/hyperlink" Target="https://www.reichelt.de/de/de/shop/produkt/aderendhuelsen-sortiment_isoliert_0_5_-_2_5_mm_-24731?PROVID=2788&amp;gad_source=1&amp;gad_campaignid=19009429412&amp;gbraid=0AAAAADwnxtYz79-ChOH9YwxlOCRicg20C&amp;gclid=Cj0KCQjw-pHPBhCdARIsAHXYWP8ZlyKe4v0vKpIh2fc-mVEVoekgZd9_Sf" TargetMode="External"/><Relationship Id="rId54" Type="http://schemas.openxmlformats.org/officeDocument/2006/relationships/hyperlink" Target="https://www.landefeld.de/artikel/de/pun-h-4x075-nt-197376-kunststoffschlauch/OT-FESTO014713?campaign=GO_SH_landefeld_fallback_DACH&amp;gad_source=1&amp;gad_campaignid=21660067325&amp;gbraid=0AAAAAD_cjCOrpskdWzB3VIDEfMQyp4ytG&amp;gclid=Cj0KCQjwlLDQBhDjARIsAPlIefEEBtY2JAze5FzChQR5LzP3Ot60HGDJrCcbDaPFfS1RTijYwiQgwtgaAkPAEALw_wcB" TargetMode="External"/><Relationship Id="rId75" Type="http://schemas.openxmlformats.org/officeDocument/2006/relationships/hyperlink" Target="https://www.landefeld.de/artikel/de/pun-h-6x1-bl-197384-kunststoffschlauch/OT-FESTO014715?campaign=GO_SH_landefeld_fallback_DACH&amp;gad_source=1&amp;gad_campaignid=21660067325&amp;gbraid=0AAAAAD_cjCPh3ZwTs6G-ulZdDOOG1GFOm&amp;gclid=Cj0KCQjw-pHPBhCdARIsAHXYWP8hI9rw_3KiNA" TargetMode="External"/><Relationship Id="rId96" Type="http://schemas.openxmlformats.org/officeDocument/2006/relationships/hyperlink" Target="https://de.rs-online.com/web/p/schrittmotoren/1816687?cm_mmc=DE-PLA-DS3A-_-google-_-CSS_DE_DE_PMAX_Catch+All-_--_-1816687&amp;matchtype=&amp;&amp;gclsrc=aw.ds&amp;gad_source=1&amp;gad_campaignid=20579356490&amp;gbraid=0AAAAADkeWNN8WGJeOBC4rQWXkfI-NsoA2&amp;gclid=Cj0KCQjwlLDQBhDjARIsAPlIefG_Zwl1OigeenmF2ENFtsXetb_hdAW_odfT_bU2Cktn7Kjw0ucv0dMaAnnCEALw_wcB" TargetMode="External"/><Relationship Id="rId140" Type="http://schemas.openxmlformats.org/officeDocument/2006/relationships/hyperlink" Target="https://de.rs-online.com/web/p/sensor-und-aktor-kabel/2231045?cm_mmc=DE-PLA-DS3A-_-google-_-CSS_DE_DE_PMAX_Catch+All-_--_-2231045&amp;matchtype=&amp;&amp;gclsrc=aw.ds&amp;gad_source=1&amp;gad_campaignid=20579356490&amp;gbraid=0AAAAADkeWNN8WGJeOBC4rQWXkfI-NsoA2&amp;gclid=Cj0KCQjwlLDQBhDjARIsAPlIefFjXxi4Hic0ujdlXJIf2z3fRRj0LukGjh2RiZlaWrl1_ZHuVdXjCAIaAvxOEALw_wcB" TargetMode="External"/><Relationship Id="rId161" Type="http://schemas.openxmlformats.org/officeDocument/2006/relationships/hyperlink" Target="https://tameson.de/products/schneider-electric-leitungsschutzschalter-a9n61508-e33xd" TargetMode="External"/><Relationship Id="rId182" Type="http://schemas.openxmlformats.org/officeDocument/2006/relationships/hyperlink" Target="https://de.rs-online.com/web/p/wahlschalter/0212043?searchId=29a3ccd6-6f6b-4f3b-b1c6-d07f7eecf70c" TargetMode="External"/><Relationship Id="rId6" Type="http://schemas.openxmlformats.org/officeDocument/2006/relationships/hyperlink" Target="https://uk.misumi-ec.com/vona2/detail/110302266360/?PNSearch=HFPD6-3030&amp;HissuCode=HFPD6-3030&amp;Keyword=HFPD6-3030&amp;list=SuggestPreview&amp;searchFlow=suggest2products" TargetMode="External"/><Relationship Id="rId23" Type="http://schemas.openxmlformats.org/officeDocument/2006/relationships/hyperlink" Target="https://uk.misumi-ec.com/vona2/detail/221302434090/?PNSearch=PUN-H-4X0.75-SW&amp;HissuCode=PUN-H-4X0.75-SW&amp;Keyword=PUN-H-4X0.75-SW&amp;list=SuggestPreview&amp;searchFlow=suggest2products" TargetMode="External"/><Relationship Id="rId119" Type="http://schemas.openxmlformats.org/officeDocument/2006/relationships/hyperlink" Target="https://de.wiautomation.com/sick/general-automation/sensors/WTB43P2161?utm_source=google&amp;utm_medium=cpc&amp;utm_campaign=DE_pmax_full&amp;gad_source=1&amp;gad_campaignid=17338852228&amp;gbraid=0AAAAAC2XDKCTipAOp-bGKlHV4cqpyyfTB&amp;gclid=Cj0KCQjwlLDQBhDjARIsAPlIefHbeoJIC-EP7Ll1vk1IMkS_ggDnWB3sIGKCq1RumIyvt7ToNQ1kkhEaAu7XEALw_wcB" TargetMode="External"/><Relationship Id="rId44" Type="http://schemas.openxmlformats.org/officeDocument/2006/relationships/hyperlink" Target="https://www.landefeld.de/artikel/de/vuvg-l10-m52-mt-m5-1h2l-w1-578162-magnetventil/OT-FESTO040715?campaign=GO_SH_landefeld_fallback_DACH&amp;gad_source=1&amp;gad_campaignid=21660067325&amp;gbraid=0AAAAAD_cjCOrpskdWzB3VIDEfMQyp4ytG&amp;gclid=Cj0KCQjwlLDQBhDjARIsAPlIefEgU0D2mWpWv_yFB1ZZg2Yrs1P7WPXy4kmEJOe9BH-JOv2muuJcpWYaAhnxEALw_wcB" TargetMode="External"/><Relationship Id="rId65" Type="http://schemas.openxmlformats.org/officeDocument/2006/relationships/hyperlink" Target="https://de.rs-online.com/web/p/pneumatisches-zylinder-und-antriebszubehor/1754591?cm_mmc=DE-PLA-DS3A-_-google-_-CSS_DE_DE_PMAX_Catch+All-_--_-1754591&amp;matchtype=&amp;&amp;gclsrc=aw.ds&amp;gad_source=1&amp;gad_campaignid=20579356490&amp;gbraid=0AAAAADkeWNN8WGJeOBC4rQWXkfI-NsoA2&amp;gclid=Cj0KCQjwlLDQBhDjARIsAPlIefHvfHyKT9kyyFU6DQAZrbdnDGGZ2USNrFObWGTmNkf8QAb9jsaJZ_caAu1bEALw_wcB" TargetMode="External"/><Relationship Id="rId86" Type="http://schemas.openxmlformats.org/officeDocument/2006/relationships/hyperlink" Target="https://uk.rubix.com/en/tk-series-tube-cutters/p-G1324040910" TargetMode="External"/><Relationship Id="rId130" Type="http://schemas.openxmlformats.org/officeDocument/2006/relationships/hyperlink" Target="https://www.conrad.de/de/p/phoenix-contact-3209510-durchgangsklemme-5-2-mm-schnellanschluss-grau-1-st-733311.html?awcreativeid=0&amp;sv1=affiliate&amp;sv_campaign_id=323889&amp;awc=11354_1779224015_b8abada19790c6571b9f2789813f5fc6&amp;hk=WW1&amp;utm_source=awin&amp;utm_medium=cpo&amp;utm_campaign=323889&amp;utm_content=awin_deeplink" TargetMode="External"/><Relationship Id="rId151" Type="http://schemas.openxmlformats.org/officeDocument/2006/relationships/hyperlink" Target="https://www.conrad.de/de/p/hellermanntyton-118-04900-t30los-hs-bk-c1-kabelbinder-200-mm-3-40-mm-schwarz-hitzestabilisiert-100-st-548011.html" TargetMode="External"/><Relationship Id="rId172" Type="http://schemas.openxmlformats.org/officeDocument/2006/relationships/hyperlink" Target="https://www.sp-spareparts.de/de/p/qsml-m5-4-festo?_q=QSML-M5-4" TargetMode="External"/><Relationship Id="rId193" Type="http://schemas.openxmlformats.org/officeDocument/2006/relationships/hyperlink" Target="https://www.conrad.de/de/p/siemens-6es7215-1ag40-0xb0-6es72151ag400xb0-sps-kompakt-cpu-1737471.html?insert=NA" TargetMode="External"/><Relationship Id="rId13" Type="http://schemas.openxmlformats.org/officeDocument/2006/relationships/hyperlink" Target="https://uk.misumi-ec.com/vona2/detail/110302607960/?PNSearch=HNTT5-5&amp;HissuCode=HNTT5-5&amp;Keyword=HNTT5-5&amp;list=SuggestPreview&amp;searchFlow=suggest2products" TargetMode="External"/><Relationship Id="rId109" Type="http://schemas.openxmlformats.org/officeDocument/2006/relationships/hyperlink" Target="https://www.landefeld.de/artikel/de/egc-80-600-tb-kf-0h-gk-3013355-zahnriemenachse/OT-FESTO058557?campaign=GO_SH_landefeld_fallback_DACH&amp;gad_source=1&amp;gad_campaignid=21660067325&amp;gbraid=0AAAAAD_cjCOrpskdWzB3VIDEfMQyp4ytG&amp;gclid=Cj0KCQjwlLDQBhDjARIsAPlIefE_fAHfl8ePLPr0ORDPFj05sS3dCqIY4UyYjPM3Di8cHFIz9qtsRroaAmRfEALw_wcB" TargetMode="External"/><Relationship Id="rId34" Type="http://schemas.openxmlformats.org/officeDocument/2006/relationships/hyperlink" Target="https://uk.misumi-ec.com/vona2/detail/110302608410/?PNSearch=HNTP5-3&amp;HissuCode=HNTP5-3&amp;Keyword=HNTP5-3&amp;list=SuggestPreview&amp;searchFlow=suggest2products" TargetMode="External"/><Relationship Id="rId55" Type="http://schemas.openxmlformats.org/officeDocument/2006/relationships/hyperlink" Target="https://de.rs-online.com/web/p/druckluftrohre/1262775?cm_mmc=DE-PLA-DS3A-_-google-_-CSS_DE_DE_PMAX_Catch+All-_--_-1262775&amp;matchtype=&amp;&amp;gclsrc=aw.ds&amp;gad_source=1&amp;gad_campaignid=20579356490&amp;gbraid=0AAAAADkeWNN8WGJeOBC4rQWXkfI-NsoA2&amp;gclid=Cj0KCQjwlLDQBhDjARIsAPlIefFJWQMYoQY7o8i1eft3dmN7Zmeot__lIyg0IwjoiGG-wd_xxb3FtSsaArWDEALw_wcB" TargetMode="External"/><Relationship Id="rId76" Type="http://schemas.openxmlformats.org/officeDocument/2006/relationships/hyperlink" Target="https://www.landefeld.de/artikel/de/qs-g14-8-50-132040-steckverschraubung/OT-FESTO024341?campaign=GO_SH_landefeld_fallback_DACH&amp;gad_source=1&amp;gad_campaignid=21660067325&amp;gbraid=0AAAAAD_cjCPh3ZwTs6G-ulZdDOOG1GFOm&amp;gclid=Cj0KCQjw-pHPBhCdARIsAHXYWP-_W5uvqzSQtL0" TargetMode="External"/><Relationship Id="rId97" Type="http://schemas.openxmlformats.org/officeDocument/2006/relationships/hyperlink" Target="https://www.landefeld.de/artikel/de/emms-st-57-m-se-g2-1370479-schrittmotor/OT-FESTO034681?campaign=GO_SH_landefeld_fallback_DACH&amp;gad_source=1&amp;gad_campaignid=21660067325&amp;gbraid=0AAAAAD_cjCOrpskdWzB3VIDEfMQyp4ytG&amp;gclid=Cj0KCQjwlLDQBhDjARIsAPlIefHTLQghGiQdrnnKlXmyCfEuGjZKouMSChV2LprayAgf9WbcMb32lNAaApjREALw_wcB" TargetMode="External"/><Relationship Id="rId120" Type="http://schemas.openxmlformats.org/officeDocument/2006/relationships/hyperlink" Target="https://de.rs-online.com/web/p/optische-naherungsschalter/2409366?cm_mmc=DE-PLA-DS3A-_-google-_-CSS_DE_DE_PMAX_Catch+All-_--_-2409366&amp;matchtype=&amp;&amp;gclsrc=aw.ds&amp;gad_source=1&amp;gad_campaignid=20579356490&amp;gbraid=0AAAAADkeWNN8WGJeOBC4rQWXkfI-NsoA2&amp;gclid=Cj0KCQjwlLDQBhDjARIsAPlIefGL3cjPUKUTMyaTNx6jR_1HXIiERlekRmxIUVrDaPy6GyN-bmMrTMYaArP3EALw_wcB" TargetMode="External"/><Relationship Id="rId141" Type="http://schemas.openxmlformats.org/officeDocument/2006/relationships/hyperlink" Target="https://www.tme.eu/de/details/yg8u13-100ua1xleax/sensorkabel/sick/" TargetMode="External"/><Relationship Id="rId7" Type="http://schemas.openxmlformats.org/officeDocument/2006/relationships/hyperlink" Target="https://uk.misumi-ec.com/vona2/detail/110300446540/?PNSearch=HFC6-3090-B&amp;HissuCode=HFC6-3090-B&amp;Keyword=HFC6-3090-B&amp;list=SuggestPreview&amp;searchFlow=suggest2products" TargetMode="External"/><Relationship Id="rId162" Type="http://schemas.openxmlformats.org/officeDocument/2006/relationships/hyperlink" Target="https://www.conrad.de/de/p/schneider-electric-a9n61508-a9n61508-leitungsschutzschalter-10-a-250-v-dc-1861587.html?insert_kz=NA&amp;hk=SEM&amp;utm_source=google&amp;utm_medium=cpc&amp;utm_campaign=DE+-+PMAX+-+NonBrand+-+High&amp;utm_id=22797105046&amp;gad_source=1&amp;gad_campaignid=22787577324&amp;gbraid=0AAAAAD1-3H6UfdB90zvX2Tf-vS90jSpes&amp;gclid=Cj0KCQjwlLDQBhDjARIsAPlIefGJ1y1_A0f5_N7KSEe1V81QLrYB6toEr2IXK_gVFzorkTW8Pjww1gwaAorqEALw_wcB" TargetMode="External"/><Relationship Id="rId183" Type="http://schemas.openxmlformats.org/officeDocument/2006/relationships/hyperlink" Target="https://de.rs-online.com/web/p/steuerstation-gehause/3308436?searchId=f596fa2b-3ff4-439a-8452-0ad45da26ea2" TargetMode="External"/><Relationship Id="rId2" Type="http://schemas.openxmlformats.org/officeDocument/2006/relationships/hyperlink" Target="https://uk.misumi-ec.com/vona2/detail/110302686450/?PNSearch=HFS6-3030-2400&amp;HissuCode=HFS6-3030-2400&amp;Keyword=HFS6-3030-2400&amp;list=SuggestPreview&amp;searchFlow=suggest2products" TargetMode="External"/><Relationship Id="rId29" Type="http://schemas.openxmlformats.org/officeDocument/2006/relationships/hyperlink" Target="https://uk.misumi-ec.com/vona2/detail/110302615750/?PNSearch=HNTF8-6&amp;HissuCode=HNTF8-6&amp;Keyword=HNTF8-6&amp;list=SuggestPreview&amp;searchFlow=suggest2products" TargetMode="External"/><Relationship Id="rId24" Type="http://schemas.openxmlformats.org/officeDocument/2006/relationships/hyperlink" Target="https://uk.misumi-ec.com/vona2/detail/221302438410/?PNSearch=QSQ-6-4&amp;HissuCode=QSQ-6-4&amp;Keyword=QSQ-6-4&amp;list=SuggestPreview&amp;searchFlow=suggest2products" TargetMode="External"/><Relationship Id="rId40" Type="http://schemas.openxmlformats.org/officeDocument/2006/relationships/hyperlink" Target="https://uk.misumi-ec.com/vona2/detail/110302261370/?PNSearch=CBM6-30&amp;HissuCode=CBM6-30&amp;Keyword=CBM6-30&amp;list=SuggestPreview&amp;searchFlow=suggest2products" TargetMode="External"/><Relationship Id="rId45" Type="http://schemas.openxmlformats.org/officeDocument/2006/relationships/hyperlink" Target="https://de.rs-online.com/web/p/pneumatik-regelventile-magnetvorgesteuert/1816402?cm_mmc=DE-PLA-DS3A-_-google-_-CSS_DE_DE_PMAX_Catch+All-_--_-1816402&amp;matchtype=&amp;&amp;gclsrc=aw.ds&amp;gad_source=1&amp;gad_campaignid=20579356490&amp;gbraid=0AAAAADkeWNN8WGJeOBC4rQWXkfI-NsoA2&amp;gclid=Cj0KCQjwlLDQBhDjARIsAPlIefEzJ9oHlilGYacaRR8LrENnvCCfC_2_8eB4UcwfKWqjRng377BgkC4aAtyEEALw_wcB" TargetMode="External"/><Relationship Id="rId66" Type="http://schemas.openxmlformats.org/officeDocument/2006/relationships/hyperlink" Target="https://www.landefeld.de/artikel/de/mue-7080-558043-profilbefestigung/OT-FESTO028207" TargetMode="External"/><Relationship Id="rId87" Type="http://schemas.openxmlformats.org/officeDocument/2006/relationships/hyperlink" Target="https://industrymall.de/en/sensors/28370-sick-wtb4-3p2161-1028099-photoelectric-sensor.html" TargetMode="External"/><Relationship Id="rId110" Type="http://schemas.openxmlformats.org/officeDocument/2006/relationships/hyperlink" Target="https://de.wiautomation.com/festo/general-automation/3012493-festo-egc-70-400-tb-kf-0h-gk?utm_source=google&amp;utm_medium=cpc&amp;utm_campaign=DE_pmax_full&amp;gad_source=1&amp;gad_campaignid=17338852228&amp;gbraid=0AAAAAC2XDKCTipAOp-bGKlHV4cqpyyfTB&amp;gclid=Cj0KCQjwlLDQBhDjARIsAPlIefGELthQYrrB_n3-bOvTi29tL7E3MvgO4vzrpzZIGtaWVE2UsBMYoHIaAlXOEALw_wcB" TargetMode="External"/><Relationship Id="rId115" Type="http://schemas.openxmlformats.org/officeDocument/2006/relationships/hyperlink" Target="https://de.rs-online.com/web/p/din-schienen-netzteile/1963645?searchId=987d6a84-deb3-471a-8b69-24683e5f3c1c" TargetMode="External"/><Relationship Id="rId131" Type="http://schemas.openxmlformats.org/officeDocument/2006/relationships/hyperlink" Target="https://de.rs-online.com/web/p/anschlussklemmenblocke-fur-din-schienen/6879414?cm_mmc=DE-PLA-DS3A-_-google-_-CSS_DE_DE_PMAX_Catch+All-_--_-6879414&amp;matchtype=&amp;&amp;gclsrc=aw.ds&amp;gad_source=1&amp;gad_campaignid=20579356490&amp;gbraid=0AAAAADkeWNN8WGJeOBC4rQWXkfI-NsoA2&amp;gclid=Cj0KCQjwlLDQBhDjARIsAPlIefG-KWbOUyDgPA4cEPxX1wWeSYAc7jR8bdvStOjC9s3OGEN1A9DclfwaAutEEALw_wcB" TargetMode="External"/><Relationship Id="rId136" Type="http://schemas.openxmlformats.org/officeDocument/2006/relationships/hyperlink" Target="https://www.conrad.de/de/p/schneider-electric-xb4ba42-harmony-xb4ba42-drucktaster-betaetiger-flach-1-taste-rot-druckentriegelung-1-st-445049.html?qwer=Cj0KCQjwlLDQBhDjARIsAPlIefHoreE8mnTOoQP55gJPIS_gsrUvXR_P3LNUFT1i_R6g4WuhBfKXVg4aAuw1EALw_wcB&amp;utm_source=google&amp;utm_medium=cpc&amp;utm_campaign=DE+-+PMAX+-+Nonbrand+-+Learning&amp;utm_id=20402606569&amp;gad_source=1&amp;gad_campaignid=20392975386&amp;gbraid=0AAAAAD1-3H6QnIlgii9AysBiqcnNjc7f4&amp;gclid=Cj0KCQjwlLDQBhDjARIsAPlIefHoreE8mnTOoQP55gJPIS_gsrUvXR_P3LNUFT1i_R6g4WuhBfKXVg4aAuw1EALw_wcB" TargetMode="External"/><Relationship Id="rId157" Type="http://schemas.openxmlformats.org/officeDocument/2006/relationships/hyperlink" Target="https://www.hyundaipower-de.com/hyundai-silent-kompressor-sac55753?srsltid=AfmBOoqcXoLkyQ1TDeEG_jNNk7SHazzcri9P3Lx-IC9JKgADlFd6-gDz" TargetMode="External"/><Relationship Id="rId178" Type="http://schemas.openxmlformats.org/officeDocument/2006/relationships/hyperlink" Target="https://www.landefeld.de/artikel/de/qsq-8-6-153210-mehrfachverteiler/OT-FESTO015466?campaign=GO_SH_landefeld_fallback_DACH&amp;gad_source=1&amp;gad_campaignid=21660067325&amp;gbraid=0AAAAAD_cjCPh3ZwTs6G-ulZdDOOG1GFOm&amp;gclid=Cj0KCQjw-pHPBhCdARIsAHXYWP8sJH9-2o4aaUOIxP3u" TargetMode="External"/><Relationship Id="rId61" Type="http://schemas.openxmlformats.org/officeDocument/2006/relationships/hyperlink" Target="https://de.rs-online.com/web/p/pneumatischer-schalldampfer/1216001?searchId=99bc01e2-0d01-44bc-8ce1-1aa82725992e" TargetMode="External"/><Relationship Id="rId82" Type="http://schemas.openxmlformats.org/officeDocument/2006/relationships/hyperlink" Target="https://www.druckluft-fachhandel.de/festo-qs-g1-4-8-50-132040-steckverschraubung" TargetMode="External"/><Relationship Id="rId152" Type="http://schemas.openxmlformats.org/officeDocument/2006/relationships/hyperlink" Target="https://de.farnell.com/hellermanntyton/kr8g5-black/kabelbinder-befestigungss-7-6mm/dp/1169012?srsltid=AfmBOoprehW8Y4ulSu3RnWnEcQdxt45NIJq8X9uHOGb5ZCp93ZtuxvbU" TargetMode="External"/><Relationship Id="rId173" Type="http://schemas.openxmlformats.org/officeDocument/2006/relationships/hyperlink" Target="https://fluidics-equipment.com/en/VR-220673.html?___store=en&amp;___from_store=de&amp;ff=2&amp;fp=220673&amp;gad_source=1&amp;gad_campaignid=20588885972&amp;gbraid=0AAAAAqPjJY7G4BYCF7Db0cFJFxoQRgYBq" TargetMode="External"/><Relationship Id="rId194" Type="http://schemas.openxmlformats.org/officeDocument/2006/relationships/hyperlink" Target="https://de.wiautomation.com/siemens/industrial-communication/6es7647-0ba00-1ya2-siemens" TargetMode="External"/><Relationship Id="rId199" Type="http://schemas.openxmlformats.org/officeDocument/2006/relationships/hyperlink" Target="https://de.rs-online.com/web/p/router/1963680?cm_mmc=DE-PLA-DS3A-_-google-_-CSS_DE_DE_PMAX_Catch+All-_--_-1963680&amp;matchtype=&amp;&amp;gclsrc=aw.ds&amp;gad_source=1&amp;gad_campaignid=20579356490&amp;gbraid=0AAAAADkeWNN8WGJeOBC4rQWXkfI-NsoA2&amp;gclid=Cj0KCQjwlLDQBhDjARIsAPlIefHOAsjV9y05p4fxb213Vp0JaQIOlU2R1R5me5GLkMASaSHOihft5-gaAh3eEALw_wcB" TargetMode="External"/><Relationship Id="rId19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14" Type="http://schemas.openxmlformats.org/officeDocument/2006/relationships/hyperlink" Target="https://uk.misumi-ec.com/vona2/detail/110500152830/?PNSearch=NS35-7.5-1000&amp;HissuCode=NS35-7.5-1000&amp;Keyword=NS35-7.5-1000&amp;list=SuggestPreview&amp;searchFlow=suggest2products" TargetMode="External"/><Relationship Id="rId30" Type="http://schemas.openxmlformats.org/officeDocument/2006/relationships/hyperlink" Target="https://uk.misumi-ec.com/vona2/detail/110302615750/?PNSearch=HNTF8-4&amp;HissuCode=HNTF8-4&amp;Keyword=HNTF8-4&amp;list=SuggestPreview&amp;searchFlow=suggest2products" TargetMode="External"/><Relationship Id="rId35" Type="http://schemas.openxmlformats.org/officeDocument/2006/relationships/hyperlink" Target="https://uk.misumi-ec.com/vona2/detail/110302616720/?PNSearch=HNTAJ8-3&amp;HissuCode=HNTAJ8-3&amp;Keyword=HNTAJ8-3&amp;list=SuggestPreview&amp;searchFlow=suggest2products" TargetMode="External"/><Relationship Id="rId56" Type="http://schemas.openxmlformats.org/officeDocument/2006/relationships/hyperlink" Target="https://www.landefeld.de/artikel/de/pun-h-4x075-bl-197383-kunststoffschlauch/OT-FESTO014711?param_1=%5b%7b%22uebereinstimmung%22:%22unbekannt%22,%22artnr%22:%22PUN-H-4X0,75-BL%22,%22typ%22:%22fremd%22%7d,%7b%22uebereinstimmung%22:%22unbekannt%22,%22artnr%22:%22PUN-H-4X0,75-BL-SA%22,%22typ%22:%22fremd%22%7d%5d&amp;_gl=1*57ypjo*_up*MQ..*_gs*MQ..&amp;gclid=Cj0KCQjwlLDQBhDjARIsAPlIefEEBtY2JAze5FzChQR5LzP3Ot60HGDJrCcbDaPFfS1RTijYwiQgwtgaAkPAEALw_wcB&amp;gbraid=0AAAAAD_cjCOrpskdWzB3VIDEfMQyp4ytG" TargetMode="External"/><Relationship Id="rId77" Type="http://schemas.openxmlformats.org/officeDocument/2006/relationships/hyperlink" Target="https://www.landefeld.de/artikel/de/neba-m8g3-u-2-5-n-le3-8078223-verbindungsleitung/OT-FESTO096751" TargetMode="External"/><Relationship Id="rId100" Type="http://schemas.openxmlformats.org/officeDocument/2006/relationships/hyperlink" Target="https://www.landefeld.de/artikel/de/cmmt-st-c8-1c-pn-s0-8084004-servoantriebsregler/OT-FESTO085049" TargetMode="External"/><Relationship Id="rId105" Type="http://schemas.openxmlformats.org/officeDocument/2006/relationships/hyperlink" Target="https://de.rs-online.com/web/p/motorzubehor/2739659?searchId=1fb4da12-3dd8-4de6-bb85-0255028b82dd" TargetMode="External"/><Relationship Id="rId126" Type="http://schemas.openxmlformats.org/officeDocument/2006/relationships/hyperlink" Target="https://www.reichelt.de/de/de/shop/produkt/aufbaugehaeuse_not-halt_not-aus_1_schliesser_1_effner_fuer_22-221635?PROVID=2788&amp;gad_source=1&amp;gad_campaignid=21154720511&amp;gbraid=0AAAAADwnxtYXWeYdkLjaoCc3RI-rKXXa9&amp;gclid=Cj0KCQjw-pHPBhCdARIsAHXYWP--1wkIpCelIEtYnao" TargetMode="External"/><Relationship Id="rId147" Type="http://schemas.openxmlformats.org/officeDocument/2006/relationships/hyperlink" Target="https://www.3dprima.com/de/filaments/ultimaker-pla-2-85-mm-750-g-black/a-24685?ReferrerID=121" TargetMode="External"/><Relationship Id="rId168" Type="http://schemas.openxmlformats.org/officeDocument/2006/relationships/hyperlink" Target="https://de.rs-online.com/web/p/druckluftrohre/1228469?cm_mmc=DE-PLA-DS3A-_-google-_-CSS_DE_DE_PMAX_Catch+All-_--_-1228469&amp;matchtype=&amp;&amp;gclsrc=aw.ds&amp;gad_source=1&amp;gad_campaignid=20579356490&amp;gbraid=0AAAAADkeWNN8WGJeOBC4rQWXkfI-NsoA2&amp;gclid=Cj0KCQjwlLDQBhDjARIsAPlIefFx7GTdsEY9xoJaNe6oII_jLcIERZI7dPxosqVWlXpv699A-3fh6wsaAm_xEALw_wcB" TargetMode="External"/><Relationship Id="rId8" Type="http://schemas.openxmlformats.org/officeDocument/2006/relationships/hyperlink" Target="https://uk.misumi-ec.com/vona2/detail/110302374430/?PNSearch=HFSPURE6-1220-2500&amp;HissuCode=HFSPURE6-1220-2500&amp;Keyword=HFSPURE6-1220-2500&amp;list=SuggestPreview&amp;searchFlow=suggest2productshist" TargetMode="External"/><Relationship Id="rId51" Type="http://schemas.openxmlformats.org/officeDocument/2006/relationships/hyperlink" Target="https://de.rs-online.com/web/p/pneumatische-anschlusse/2023356?cm_mmc=DE-PLA-DS3A-_-google-_-CSS_DE_DE_PMAX_Catch+All-_--_-2023356&amp;matchtype=&amp;&amp;gclsrc=aw.ds&amp;gad_source=1&amp;gad_campaignid=20579356490&amp;gbraid=0AAAAADkeWNN8WGJeOBC4rQWXkfI-NsoA2&amp;gclid=Cj0KCQjwlLDQBhDjARIsAPlIefEiTYLSZhVznyWAH8oWq40TAuHrO9FVhwxsvO9_F12uQi9ERiKMUMEaAr9SEALw_wcB" TargetMode="External"/><Relationship Id="rId72" Type="http://schemas.openxmlformats.org/officeDocument/2006/relationships/hyperlink" Target="https://www.landefeld.de/artikel/de/tk-3-smc-schlauchschneider/OT-SMC064162?campaign=GO_SH_landefeld_fallback_DACH&amp;gad_source=1&amp;gad_campaignid=21660067325&amp;gbraid=0AAAAAD_cjCPh3ZwTs6G-ulZdDOOG1GFOm&amp;gclid=Cj0KCQjw-pHPBhCdARIsAHXYWP_5X2Q3-ajafXOC5FC7Lnpo3C3c" TargetMode="External"/><Relationship Id="rId93" Type="http://schemas.openxmlformats.org/officeDocument/2006/relationships/hyperlink" Target="https://industrymall.de/en/hydraulics/29671-festo-dhrs-25-a-1310162-radial-gripper.html" TargetMode="External"/><Relationship Id="rId98" Type="http://schemas.openxmlformats.org/officeDocument/2006/relationships/hyperlink" Target="https://de.wiautomation.com/festo/drives-motors-circuits-protection/1370479?utm_source=google&amp;utm_medium=cpc&amp;utm_campaign=DE_pmax_full&amp;gad_source=1&amp;gad_campaignid=17338852228&amp;gbraid=0AAAAAC2XDKCTipAOp-bGKlHV4cqpyyfTB&amp;gclid=Cj0KCQjwlLDQBhDjARIsAPlIefE_soQKapUqnqwvmQkr-sHSIovC7m7TR1a1Qx1pdxg-TcjtTsJdaH0aAsZMEALw_wcB" TargetMode="External"/><Relationship Id="rId121" Type="http://schemas.openxmlformats.org/officeDocument/2006/relationships/hyperlink" Target="https://www.landefeld.de/artikel/de/dhrs-25-a-1310162-radialgreifer/OT-FESTO032839?campaign=GO_SH_Festo_DE&amp;gad_source=1&amp;gad_campaignid=21820866894&amp;gbraid=0AAAAAD_cjCOcV3ZGh9yzXGD81bHBffPP3&amp;gclid=CjwKCAjwt7XQBhBkEiwAtStpp5KWxmIj7S0gxrjTQ8H9vMScVYV1XynhzJv0Zxl8dSjsVMbcXLE2fRoCuMUQAvD_BwE" TargetMode="External"/><Relationship Id="rId142" Type="http://schemas.openxmlformats.org/officeDocument/2006/relationships/hyperlink" Target="https://www.mouser.de/ProductDetail/ZF/DC1C-A1RB?qs=Z7NFYKyvgJf36qdXxs3wkA%3D%3D" TargetMode="External"/><Relationship Id="rId163" Type="http://schemas.openxmlformats.org/officeDocument/2006/relationships/hyperlink" Target="https://de.rs-online.com/web/p/leitungsschutzschalter/7721509?cm_mmc=DE-PLA-DS3A-_-google-_-CSS_DE_DE_PMAX_Catch+All-_--_-7721509&amp;matchtype=&amp;&amp;gclsrc=aw.ds&amp;gad_source=1&amp;gad_campaignid=20579356490&amp;gbraid=0AAAAADkeWNN8WGJeOBC4rQWXkfI-NsoA2&amp;gclid=Cj0KCQjwlLDQBhDjARIsAPlIefECKBiiexheuwppPFga0pdclhOiXhs2Xy_StUD5CKFrie7_x7dmaUsaAlwrEALw_wcB" TargetMode="External"/><Relationship Id="rId184" Type="http://schemas.openxmlformats.org/officeDocument/2006/relationships/hyperlink" Target="https://www.megatech-shop.de/products/metz-connect/btr-1308451055-e/1308451055-e-patchkabel-cat6a-2x-rj45-stecker" TargetMode="External"/><Relationship Id="rId189" Type="http://schemas.openxmlformats.org/officeDocument/2006/relationships/hyperlink" Target="https://www.reichelt.de/de/de/shop/produkt/leergehaeuse_3_bohrungen_68_x_136_x_53_mm-221680?PROVID=2788&amp;gad_source=1&amp;gad_campaignid=1622074784&amp;gbraid=0AAAAADwnxtZ7yUjQD0zMDOeWhJCQPv4xD&amp;gclid=Cj0KCQjw-pHPBhCdARIsAHXYWP8uxrgq3fUuVYNyjeUKG-ALWzcBOA88tFX_aEOb" TargetMode="External"/><Relationship Id="rId3" Type="http://schemas.openxmlformats.org/officeDocument/2006/relationships/hyperlink" Target="https://uk.misumi-ec.com/vona2/detail/110300442340/?PNSearch=CHBLFSN6&amp;HissuCode=CHBLFSN6&amp;Keyword=CHBLFSN6&amp;list=SuggestPreview&amp;searchFlow=suggest2products" TargetMode="External"/><Relationship Id="rId25" Type="http://schemas.openxmlformats.org/officeDocument/2006/relationships/hyperlink" Target="https://uk.misumi-ec.com/vona2/detail/110302690740/?HissuCode=HFS8-8080-1000&amp;PNSearch=HFS8-8080-1000&amp;KWSearch=HFS8-8080-1000&amp;searchFlow=results2products&amp;list=PageSearchResult" TargetMode="External"/><Relationship Id="rId46" Type="http://schemas.openxmlformats.org/officeDocument/2006/relationships/hyperlink" Target="https://www.landefeld.de/artikel/de/smt-8m-a-ps-24v-e-25-oe-574335-naeherungsschalter/OT-FESTO032898?campaign=GO_SH_landefeld_fallback_DACH&amp;gad_source=1&amp;gad_campaignid=21660067325&amp;gbraid=0AAAAAD_cjCOrpskdWzB3VIDEfMQyp4ytG&amp;gclid=Cj0KCQjwlLDQBhDjARIsAPlIefG4v4PAETzMxMVhwp-RsQtOm6K36qxHBamm2jJV4d1A48TTOjg8C4caAsQrEALw_wcB" TargetMode="External"/><Relationship Id="rId67" Type="http://schemas.openxmlformats.org/officeDocument/2006/relationships/hyperlink" Target="https://de.rs-online.com/web/p/sensor-und-aktor-kabel/0362555?cm_mmc=DE-PLA-DS3A-_-google-_-CSS_DE_DE_PMAX_Catch+All-_--_-362555&amp;matchtype=&amp;&amp;gclsrc=aw.ds&amp;gad_source=1&amp;gad_campaignid=20579356490&amp;gbraid=0AAAAADkeWNN8WGJeOBC4rQWXkfI-NsoA2&amp;gclid=Cj0KCQjwlLDQBhDjARIsAPlIefHcFKTmLtEG1X16Hw9rO9bP236E1KSj8-sm1_KVcEIhd8FuXMZyNF4aAskAEALw_wcB" TargetMode="External"/><Relationship Id="rId116" Type="http://schemas.openxmlformats.org/officeDocument/2006/relationships/hyperlink" Target="https://de.wiautomation.com/siemens/power-supply/sitop/6EP34368SB000AY0" TargetMode="External"/><Relationship Id="rId137" Type="http://schemas.openxmlformats.org/officeDocument/2006/relationships/hyperlink" Target="https://de.rs-online.com/web/p/drucktaster-schalter/3308644?cm_mmc=DE-PLA-DS3A-_-google-_-CSS_DE_DE_PMAX_Catch+All-_--_-3308644&amp;matchtype=&amp;&amp;gclsrc=aw.ds&amp;gad_source=1&amp;gad_campaignid=20579356490&amp;gbraid=0AAAAADkeWNN8WGJeOBC4rQWXkfI-NsoA2&amp;gclid=Cj0KCQjwlLDQBhDjARIsAPlIefEGmooXxvxEvpzEfLPssrPOY836wzwk06eB-0njYIHpdubhx7ZnybsaAtw9EALw_wcB" TargetMode="External"/><Relationship Id="rId158" Type="http://schemas.openxmlformats.org/officeDocument/2006/relationships/hyperlink" Target="https://www.profishop.de/pg/1296951/6badfd7012be893984f6b98a9a5d28109?utm_source=google&amp;utm_medium=cpc&amp;utm_campaign=0.1%20Shopping%20PMAX%20Heroes%20DE%20%7C%20Price%20label%20250&amp;utm_id=20691679100&amp;gad_source=1&amp;gad_campaignid=20685691158&amp;gbraid=0AAAAADkx9EU7pectOfTUNgzn-beD3OGdG&amp;gclid=Cj0KCQjwlLDQBhDjARIsAPlIefFD_4RHzsHMi9-2439CN1IX6UZ4z8nHqAymMdtUfjcFCVifhkF_kwkaAtKGEALw_wcB" TargetMode="External"/><Relationship Id="rId20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41" Type="http://schemas.openxmlformats.org/officeDocument/2006/relationships/hyperlink" Target="https://uk.misumi-ec.com/vona2/detail/110300439270/?PNSearch=HBL45TD5&amp;HissuCode=HBL45TD5&amp;Keyword=HBL45TD5&amp;list=SuggestPreview&amp;searchFlow=suggest2productshist" TargetMode="External"/><Relationship Id="rId62" Type="http://schemas.openxmlformats.org/officeDocument/2006/relationships/hyperlink" Target="https://www.landefeld.de/artikel/de/qsq-6-4-153209-mehrfachverteiler/OT-FESTO015465?campaign=GO_SH_landefeld_fallback_DACH&amp;gad_source=1&amp;gad_campaignid=21660067325&amp;gbraid=0AAAAAD_cjCOrpskdWzB3VIDEfMQyp4ytG&amp;gclid=Cj0KCQjwlLDQBhDjARIsAPlIefGjvNxoIv_zRjQZB12QI4_bDmBg3tss2Vh3UI1lEK-cz47nggx6HXkaAv4yEALw_wcB" TargetMode="External"/><Relationship Id="rId83" Type="http://schemas.openxmlformats.org/officeDocument/2006/relationships/hyperlink" Target="https://kinetikmsystem.de/en/festo/connection-technology/pneumatic-connection-technology/push-in-fitting-qs/7528/qs-g1/4-8-50-132040-festo-push-in-fitting?number=F0QSG14850" TargetMode="External"/><Relationship Id="rId88" Type="http://schemas.openxmlformats.org/officeDocument/2006/relationships/hyperlink" Target="https://industrymall.de/en/servo-engines/26403-festo-emms-st-57-m-se-g2-1370479.html" TargetMode="External"/><Relationship Id="rId111" Type="http://schemas.openxmlformats.org/officeDocument/2006/relationships/hyperlink" Target="https://de.rs-online.com/web/p/netzwerk-switches/2023795?searchId=90bcaddc-d525-4444-a14e-966afb5e181e" TargetMode="External"/><Relationship Id="rId132" Type="http://schemas.openxmlformats.org/officeDocument/2006/relationships/hyperlink" Target="https://www.conrad.de/de/p/schneider-electric-harmony-xalk178e-pilztaster-im-gehaeuse-120-v-ac-6-a-1-oeffner-1-schliesser-ip66-nach-en-60529-ip67-446473.html?searchType=SearchRedirect" TargetMode="External"/><Relationship Id="rId153" Type="http://schemas.openxmlformats.org/officeDocument/2006/relationships/hyperlink" Target="https://de.farnell.com/en-DE/hellermanntyton/t30los-hb3p/cable-tie-black-200x3-4mm-pk100/dp/1296254?cjdata=MXxZfDB8WXww&amp;gross_price=true&amp;CMP=AFC-CJ-DE-8190214&amp;source=CJ&amp;cjevent=8b500c973e6f11f1810400060a18ba74&amp;loyaltysignal=0" TargetMode="External"/><Relationship Id="rId174" Type="http://schemas.openxmlformats.org/officeDocument/2006/relationships/hyperlink" Target="https://de.rs-online.com/web/p/pneumatische-anschlusse/2024344?cm_mmc=DE-PLA-DS3A-_-google-_-CSS_DE_DE_PMAX_Catch+All-_--_-2024344&amp;matchtype=&amp;&amp;gclsrc=aw.ds&amp;gad_source=1&amp;gad_campaignid=20579356490&amp;gbraid=0AAAAADkeWNN8WGJeOBC4rQWXkfI-NsoA2&amp;gclid=Cj0KCQjwlLDQBhDjARIsAPlIefF1kLIYt89j7KUB2rkwjzmlOICeV4Xm9kJyQcvmVLtFP3FrDPhDhyoaAn_XEALw_wcB" TargetMode="External"/><Relationship Id="rId179" Type="http://schemas.openxmlformats.org/officeDocument/2006/relationships/hyperlink" Target="https://www.sp-spareparts.de/de/p/advc-6-10-a-p-a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EA2xv-TiwlQlgvd0ZQ71Bd3xySOhl84f5EgXia68_aRjiegR_QKX0aAt7oEALw_wcB" TargetMode="External"/><Relationship Id="rId195" Type="http://schemas.openxmlformats.org/officeDocument/2006/relationships/hyperlink" Target="https://de.rs-online.com/web/p/iot-gateways/2017732?searchId=04151202-e713-4df3-8e39-8ed3ca6b7cfe" TargetMode="External"/><Relationship Id="rId190" Type="http://schemas.openxmlformats.org/officeDocument/2006/relationships/hyperlink" Target="https://www.reichelt.de/de/de/shop/produkt/wahlschalter_22_mm_2_stellungen_rastend_2_schliesser-340232?PROVID=2788&amp;gad_source=1&amp;gad_campaignid=19009429418&amp;gbraid=0AAAAADwnxtaXhONZpO4LO6cBuX1axOVOa&amp;gclid=Cj0KCQjw-pHPBhCdARIsAHXYWP_jTWJ7YWUrWylfBprcSeUFSvhA" TargetMode="External"/><Relationship Id="rId15" Type="http://schemas.openxmlformats.org/officeDocument/2006/relationships/hyperlink" Target="https://uk.misumi-ec.com/vona2/detail/221302449625/?PNSearch=DSNU-8-100-P-A&amp;HissuCode=DSNU-8-100-P-A&amp;Keyword=DSNU-8-100-P-A&amp;list=SuggestPreview&amp;searchFlow=suggest2productshist" TargetMode="External"/><Relationship Id="rId36" Type="http://schemas.openxmlformats.org/officeDocument/2006/relationships/hyperlink" Target="https://uk.misumi-ec.com/vona2/detail/110302616360/?PNSearch=HNTP8-5&amp;HissuCode=HNTP8-5&amp;Keyword=HNTP8-5&amp;list=SuggestPreview&amp;searchFlow=suggest2productshist" TargetMode="External"/><Relationship Id="rId57" Type="http://schemas.openxmlformats.org/officeDocument/2006/relationships/hyperlink" Target="https://de.rs-online.com/web/p/druckluftrohre/1216290?searchId=a3f33804-e9bd-4c36-9b39-e28d174dc3f6" TargetMode="External"/><Relationship Id="rId106" Type="http://schemas.openxmlformats.org/officeDocument/2006/relationships/hyperlink" Target="https://www.landefeld.de/artikel/de/nebm-s1w9-e-7-q5-le6-1450739-motorleitung/OT-FESTO035132?param_1=%5b%7b%22uebereinstimmung%22:%22unbekannt%22,%22typ%22:%22fremd%22,%22artnr%22:%22NEBM-S1W9-E-7-Q5-LE6%22%7d%5d" TargetMode="External"/><Relationship Id="rId127" Type="http://schemas.openxmlformats.org/officeDocument/2006/relationships/hyperlink" Target="https://www.reichelt.de/de/de/shop/produkt/durchgangsklemme_pt_2_5_grau-209586?PROVID=2788&amp;gad_source=1&amp;gad_campaignid=19009429412&amp;gbraid=0AAAAADwnxtYz79-ChOH9YwxlOCRicg20C&amp;gclid=Cj0KCQjw-pHPBhCdARIsAHXYWP8BF6xF-t8Y0r5YJyiuRrvsJ3pSD7jI_weuN_0qj7c60ZOFggo_" TargetMode="External"/><Relationship Id="rId10" Type="http://schemas.openxmlformats.org/officeDocument/2006/relationships/hyperlink" Target="https://uk.misumi-ec.com/vona2/detail/110302684350/?PNSearch=HFS5-2040-1500&amp;HissuCode=HFS5-2040-1500&amp;Keyword=HFS5-2040-1500&amp;list=SuggestPreview&amp;searchFlow=suggest2products" TargetMode="External"/><Relationship Id="rId31" Type="http://schemas.openxmlformats.org/officeDocument/2006/relationships/hyperlink" Target="https://uk.misumi-ec.com/vona2/detail/221005479774/?PNSearch=CSS-04-08&amp;HissuCode=CSS-04-08&amp;Keyword=CSS-04-08&amp;list=SuggestPreview&amp;searchFlow=suggest2products" TargetMode="External"/><Relationship Id="rId52" Type="http://schemas.openxmlformats.org/officeDocument/2006/relationships/hyperlink" Target="https://www.landefeld.de/artikel/de/dsnu-8-100-p-a-19182-normzylinder/OT-FESTO000997?campaign=GO_SH_landefeld_fallback_DACH&amp;gad_source=1&amp;gad_campaignid=21660067325&amp;gbraid=0AAAAAD_cjCOrpskdWzB3VIDEfMQyp4ytG&amp;gclid=Cj0KCQjwlLDQBhDjARIsAPlIefHvlqTzUI-svZ8dciHmBZacwOAYEvMobmKoK86Olhe9YZcfvFrM6RsaAns_EALw_wcB" TargetMode="External"/><Relationship Id="rId73" Type="http://schemas.openxmlformats.org/officeDocument/2006/relationships/hyperlink" Target="https://www.landefeld.de/artikel/de/qsc-6h-100-130700-blindstopfen/OT-FESTO020040?param_1=%5B%7B%22artnr%22:%22QSC-6H-100%22,%22uebereinstimmung%22:%22unbekannt%22,%22typ%22:%22fremd%22%7D%5D" TargetMode="External"/><Relationship Id="rId78" Type="http://schemas.openxmlformats.org/officeDocument/2006/relationships/hyperlink" Target="https://www.conrad.de/de/p/festo-qsc-4h-100-130699-reduzierverbindung-1-st-1894471.html" TargetMode="External"/><Relationship Id="rId94" Type="http://schemas.openxmlformats.org/officeDocument/2006/relationships/hyperlink" Target="https://industrymall.de/en/plc/26425-festo-dgsl-12-50-y3a-543979-mini-schlitten.html" TargetMode="External"/><Relationship Id="rId99" Type="http://schemas.openxmlformats.org/officeDocument/2006/relationships/hyperlink" Target="https://de.rs-online.com/web/p/motorsteuerungen/0193554?cm_mmc=DE-PLA-DS3A-_-google-_-CSS_DE_DE_PMAX_Catch+All-_--_-193554&amp;matchtype=&amp;&amp;gclsrc=aw.ds&amp;gad_source=1&amp;gad_campaignid=20579356490&amp;gbraid=0AAAAADkeWNN8WGJeOBC4rQWXkfI-NsoA2&amp;gclid=Cj0KCQjwlLDQBhDjARIsAPlIefEEKtZm2JMOsdCC_6fKzmVdHL_QeSHPObuOOspC_4dlYdGcX68ZT8AaAhZzEALw_wcB" TargetMode="External"/><Relationship Id="rId101" Type="http://schemas.openxmlformats.org/officeDocument/2006/relationships/hyperlink" Target="https://de.wiautomation.com/festo/drives-motors-circuits-protection/8084004?utm_source=google&amp;utm_medium=cpc&amp;utm_campaign=DE_pmax_full&amp;gad_source=1&amp;gad_campaignid=17338852228&amp;gbraid=0AAAAAC2XDKCTipAOp-bGKlHV4cqpyyfTB&amp;gclid=Cj0KCQjwlLDQBhDjARIsAPlIefGsy5BKQ-MYbwup0XH7t_DchML9b2Ru-xD24b3I6KOsb9mgJOEcnLcaAuwYEALw_wcB" TargetMode="External"/><Relationship Id="rId122" Type="http://schemas.openxmlformats.org/officeDocument/2006/relationships/hyperlink" Target="https://www.pts-group.de/en/product/dhrs-25-a-radialgreifer?gad_source=1&amp;gad_campaignid=23529427665&amp;gbraid=0AAAAA_LrGo-pW9E7Py8ln6XAMkDcAid5M&amp;gclid=CjwKCAjwt7XQBhBkEiwAtStpp86ZqtzCkmdllPqXIph2b7-tcOJegVH5lvjcaGpK5gAjmlENKpuKDhoC7ZgQAvD_BwE" TargetMode="External"/><Relationship Id="rId143" Type="http://schemas.openxmlformats.org/officeDocument/2006/relationships/hyperlink" Target="https://www.reichelt.de/de/de/shop/produkt/filament_tough_pla_m0777_weiss_750_g-227293" TargetMode="External"/><Relationship Id="rId148" Type="http://schemas.openxmlformats.org/officeDocument/2006/relationships/hyperlink" Target="https://www.3dmensionals.de/ultimaker-tough-pla-filament-2558" TargetMode="External"/><Relationship Id="rId164" Type="http://schemas.openxmlformats.org/officeDocument/2006/relationships/hyperlink" Target="https://www.berrybase.de/raspberry-pi-5-starterkit-64gb-microsdhc-inkl.-pi-os-gehaeuse-netzteil-hdmi-kabel-und-zubehoer/farbe-schwarz/ram-4gb" TargetMode="External"/><Relationship Id="rId169" Type="http://schemas.openxmlformats.org/officeDocument/2006/relationships/hyperlink" Target="https://www.landefeld.de/artikel/de/pun-h-8x125-bl-197385-kunststoffschlauch/OT-FESTO014719?campaign=GO_SH_landefeld_fallback_DACH&amp;gad_source=1&amp;gad_campaignid=21660067325&amp;gbraid=0AAAAAD_cjCPh3ZwTs6G-ulZdDOOG1GFOm&amp;gclid=Cj0KCQjw-pHPBhCdARIsAHXYWP8K_0OraEj0" TargetMode="External"/><Relationship Id="rId185" Type="http://schemas.openxmlformats.org/officeDocument/2006/relationships/hyperlink" Target="https://www.conrad.de/de/p/metz-connect-1308451055-e-rj45-patchkabel-cat-6a-s-ftp-1-00-m-gruen-mit-rastnasenschutz-1-st-992419.html?awcreativeid=0&amp;sv1=affiliate&amp;sv_campaign_id=323889&amp;awc=11354_1779200463_e03abffd79df1febc3653b8787e64187&amp;insert=AW&amp;hk=WW1&amp;utm_source=awin&amp;utm_medium=cpo&amp;utm_campaign=323889&amp;utm_content=awin_deeplink" TargetMode="External"/><Relationship Id="rId4" Type="http://schemas.openxmlformats.org/officeDocument/2006/relationships/hyperlink" Target="https://uk.misumi-ec.com/vona2/detail/110302261370/?PNSearch=CBM6-12&amp;HissuCode=CBM6-12&amp;Keyword=CBM6-12&amp;list=SuggestPreview&amp;searchFlow=suggest2productshist" TargetMode="External"/><Relationship Id="rId9" Type="http://schemas.openxmlformats.org/officeDocument/2006/relationships/hyperlink" Target="https://uk.misumi-ec.com/vona2/detail/110302262430/?PNSearch=HFSFIN6-1554-1000&amp;HissuCode=HFSFIN6-1554-1000&amp;Keyword=HFSFIN6-1554-1000&amp;list=SuggestPreview&amp;searchFlow=suggest2products" TargetMode="External"/><Relationship Id="rId180" Type="http://schemas.openxmlformats.org/officeDocument/2006/relationships/hyperlink" Target="https://www.sp-spareparts.de/de/p/qsq-8-6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F4uG3L2byvRHioscMvNmKO3PG6RxdOXFDGbrS5cg-XEs7ync3zxmMaAu60EALw_wcB" TargetMode="External"/><Relationship Id="rId26" Type="http://schemas.openxmlformats.org/officeDocument/2006/relationships/hyperlink" Target="https://uk.misumi-ec.com/vona2/detail/110300452840/?PNSearch=HFC8-8080-B&amp;HissuCode=HFC8-8080-B&amp;Keyword=HFC8-8080-B&amp;list=SuggestPreview&amp;searchFlow=suggest2products" TargetMode="External"/><Relationship Id="rId47" Type="http://schemas.openxmlformats.org/officeDocument/2006/relationships/hyperlink" Target="https://de.rs-online.com/web/p/pneumatische-zylindersensoren/1215836?cm_mmc=DE-PLA-DS3A-_-google-_-CSS_DE_DE_PMAX_Catch+All-_--_-1215836&amp;matchtype=&amp;&amp;gclsrc=aw.ds&amp;gad_source=1&amp;gad_campaignid=20579356490&amp;gbraid=0AAAAADkeWNN8WGJeOBC4rQWXkfI-NsoA2&amp;gclid=Cj0KCQjwlLDQBhDjARIsAPlIefEudBSryXk4PDa7O5oi7kHNSaJVMspGOhz4VevklE7ZGfYtEwAEAAoaAqKUEALw_wcB" TargetMode="External"/><Relationship Id="rId68" Type="http://schemas.openxmlformats.org/officeDocument/2006/relationships/hyperlink" Target="https://de.rs-online.com/web/p/pneumatisches-zylinder-und-antriebszubehor/0652034?searchId=939e18d1-9c58-4056-bd73-46e07bf3d062" TargetMode="External"/><Relationship Id="rId89" Type="http://schemas.openxmlformats.org/officeDocument/2006/relationships/hyperlink" Target="https://industrymall.de/en/plc/26331-festo-8084004-cmmt-st-c8-1c-pn-s0-servo.html" TargetMode="External"/><Relationship Id="rId112" Type="http://schemas.openxmlformats.org/officeDocument/2006/relationships/hyperlink" Target="https://www.conrad.de/de/p/siemens-6gk52080ga002ac2-6gk5208-0ga00-2ac2-industrial-ethernet-switch-2798206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33" Type="http://schemas.openxmlformats.org/officeDocument/2006/relationships/hyperlink" Target="https://de.rs-online.com/web/p/not-aus-schalter/6094708?searchId=aeb26ca5-0354-4786-934b-362bee1e3ce3" TargetMode="External"/><Relationship Id="rId154" Type="http://schemas.openxmlformats.org/officeDocument/2006/relationships/hyperlink" Target="https://de.rs-online.com/web/p/kabelbindermontage/0446645?searchId=7c31210a-55c7-4667-b226-b6886aa6cb4f" TargetMode="External"/><Relationship Id="rId175" Type="http://schemas.openxmlformats.org/officeDocument/2006/relationships/hyperlink" Target="https://de.rs-online.com/web/p/pneumatische-anschlusse/1216021?cm_mmc=DE-PLA-DS3A-_-google-_-CSS_DE_DE_PMAX_Catch+All-_--_-1216021&amp;matchtype=&amp;&amp;gclsrc=aw.ds&amp;gad_source=1&amp;gad_campaignid=20579356490&amp;gbraid=0AAAAADkeWNN8WGJeOBC4rQWXkfI-NsoA2&amp;gclid=Cj0KCQjwlLDQBhDjARIsAPlIefFFQFSO2hAnG8ClVm0qvoCISOI20wAlXJJ4RHHdcnXX-KdIT4tHJp4aAiKKEALw_wcB" TargetMode="External"/><Relationship Id="rId196" Type="http://schemas.openxmlformats.org/officeDocument/2006/relationships/hyperlink" Target="https://www.conrad.de/de/p/siemens-6es76470ba001ya2-simatic-iot2050-quad-core-gateway-1-st-2269359.html" TargetMode="External"/><Relationship Id="rId200" Type="http://schemas.openxmlformats.org/officeDocument/2006/relationships/vmlDrawing" Target="../drawings/vmlDrawing1.vml"/><Relationship Id="rId16" Type="http://schemas.openxmlformats.org/officeDocument/2006/relationships/hyperlink" Target="https://uk.misumi-ec.com/vona2/detail/221302447971/?PNSearch=SMT-8M-A-PS-24V-E-2.5-OE&amp;HissuCode=SMT-8M-A-PS-24V-E-2.5-OE&amp;Keyword=SMT-8M-A-PS-24V-E-2.5-OE&amp;list=SuggestPreview" TargetMode="External"/><Relationship Id="rId37" Type="http://schemas.openxmlformats.org/officeDocument/2006/relationships/hyperlink" Target="https://uk.misumi-ec.com/vona2/detail/110302261370/?PNSearch=CBM3-35&amp;HissuCode=CBM3-35&amp;Keyword=CBM3-35&amp;list=SuggestPreview&amp;searchFlow=suggest2products" TargetMode="External"/><Relationship Id="rId58" Type="http://schemas.openxmlformats.org/officeDocument/2006/relationships/hyperlink" Target="https://de.rs-online.com/web/p/druckluftrohre/1216392?searchId=afad0f8d-e49e-46ea-97d4-b1b63b37dc17" TargetMode="External"/><Relationship Id="rId79" Type="http://schemas.openxmlformats.org/officeDocument/2006/relationships/hyperlink" Target="https://kinetikmsystem.de/en/festo/connection-technology/pneumatic-connection-technology/push-in-fitting-qsc/8184/qsc-4h-100-130699-festo-blanking-plug" TargetMode="External"/><Relationship Id="rId102" Type="http://schemas.openxmlformats.org/officeDocument/2006/relationships/hyperlink" Target="https://de.rs-online.com/web/p/sensor-und-aktor-kabel/2739632?searchId=2e5fe6e2-d660-4d90-86c9-56a42a7b367a" TargetMode="External"/><Relationship Id="rId123" Type="http://schemas.openxmlformats.org/officeDocument/2006/relationships/hyperlink" Target="https://www.reichelt.de/de/de/shop/produkt/signalampel_rot_gelb_gruen_led_24_v_ac_dc-406312?PROVID=2788&amp;gad_source=1&amp;gad_campaignid=1622074784&amp;gbraid=0AAAAADwnxtZ7yUjQD0zMDOeWhJCQPv4xD&amp;gclid=Cj0KCQjw-pHPBhCdARIsAHXYWP-_37aEZqg2GD4nDAbMWd7oTGpMMh5_PVtAkrjQ" TargetMode="External"/><Relationship Id="rId144" Type="http://schemas.openxmlformats.org/officeDocument/2006/relationships/hyperlink" Target="https://www.reichelt.de/de/de/shop/produkt/filament_pla_m0751_schwarz_750_g-188516" TargetMode="External"/><Relationship Id="rId90" Type="http://schemas.openxmlformats.org/officeDocument/2006/relationships/hyperlink" Target="https://industrymall.de/en/plc/29236-festo-nebm-m12w8-e-25-le8-1451675-encoder-cable-neu.html" TargetMode="External"/><Relationship Id="rId165" Type="http://schemas.openxmlformats.org/officeDocument/2006/relationships/hyperlink" Target="https://www.conrad.de/de/p/raspberry-pi-essentials-kit-raspberry-pi-5-b-8-gb-4-x-2-4-ghz-inkl-netzteil-inkl-gehaeuse-2987744.html?awcreativeid=0&amp;sv1=affiliate&amp;sv_campaign_id=323889&amp;awc=11354_1779201452_6f6e333e988d660c05625b2426714db7&amp;insert=AW&amp;hk=WW1&amp;utm_source=awin&amp;utm_medium=cpo&amp;utm_campaign=323889&amp;utm_content=awin_deeplink" TargetMode="External"/><Relationship Id="rId186" Type="http://schemas.openxmlformats.org/officeDocument/2006/relationships/hyperlink" Target="https://www.conrad.de/de/p/schneider-electric-xald03-xald03-leergehaeuse-3-einbaustellen-b-x-h-x-t-136-x-68-x-53-mm-unbeschriftet-dunkelgrau-hell-446740.html?awcreativeid=0&amp;sv1=affiliate&amp;sv_campaign_id=323889&amp;awc=11354_1779224867_b631992cdc6c834c78035783cb3a5ba1&amp;hk=WW1&amp;utm_source=awin&amp;utm_medium=cpo&amp;utm_campaign=323889&amp;utm_content=awin_deeplink" TargetMode="External"/><Relationship Id="rId27" Type="http://schemas.openxmlformats.org/officeDocument/2006/relationships/hyperlink" Target="https://uk.misumi-ec.com/vona2/detail/110302608410/?PNSearch=HNTP5-4&amp;HissuCode=HNTP5-4&amp;Keyword=HNTP5-4&amp;list=SuggestPreview&amp;searchFlow=suggest2products" TargetMode="External"/><Relationship Id="rId48" Type="http://schemas.openxmlformats.org/officeDocument/2006/relationships/hyperlink" Target="https://www.landefeld.de/artikel/de/grla-m5-qs-4-d-193138-drossel-rueckschlagventil/OT-FESTO011856?campaign=GO_SH_landefeld_fallback_DACH&amp;gad_source=1&amp;gad_campaignid=21660067325&amp;gbraid=0AAAAAD_cjCOrpskdWzB3VIDEfMQyp4ytG&amp;gclid=Cj0KCQjwlLDQBhDjARIsAPlIefHovQU_F4styYERx-7OarJWItIA-CgXZH4RiBNjBn_jf_VQsWJe86oaAvgCEALw_wcB" TargetMode="External"/><Relationship Id="rId69" Type="http://schemas.openxmlformats.org/officeDocument/2006/relationships/hyperlink" Target="https://www.digikey.de/de/products/detail/festo-corporation/MUE-70-80/19232660?gclsrc=aw.ds&amp;gad_source=1&amp;gad_campaignid=20179590413&amp;gbraid=0AAAAADrbLli3G_EWv1QCjL_Vz0COiHFRw&amp;gclid=Cj0KCQjwlLDQBhDjARIsAPlIefGAbTQdeOUu89qPD1l2QL5bOWkceRDYuX2vhafBvogx2CnhNaMnw-QaApIAEALw_wcB" TargetMode="External"/><Relationship Id="rId113" Type="http://schemas.openxmlformats.org/officeDocument/2006/relationships/hyperlink" Target="https://de.wiautomation.com/siemens/industrial-communication/6GK52080GA002AC2" TargetMode="External"/><Relationship Id="rId134" Type="http://schemas.openxmlformats.org/officeDocument/2006/relationships/hyperlink" Target="https://www.conrad.de/de/p/schneider-electric-xb5aa31c0-kleinverteilerzubehoer-1-st-2933403.html?awcreativeid=0&amp;sv1=affiliate&amp;sv_campaign_id=323889&amp;awc=11354_1779225020_b0bc1e343b4865c18d6de0c2e5edd63f&amp;insert=AW&amp;hk=WW1&amp;utm_source=awin&amp;utm_medium=cpo&amp;utm_campaign=323889&amp;utm_content=awin_deeplink&amp;experience=b2c" TargetMode="External"/><Relationship Id="rId80" Type="http://schemas.openxmlformats.org/officeDocument/2006/relationships/hyperlink" Target="https://www.druckluft-fachhandel.de/festo-qsc-6h-100-130700-blindstopfen" TargetMode="External"/><Relationship Id="rId155" Type="http://schemas.openxmlformats.org/officeDocument/2006/relationships/hyperlink" Target="https://de.rs-online.com/web/p/kabelbinder/5424271" TargetMode="External"/><Relationship Id="rId176" Type="http://schemas.openxmlformats.org/officeDocument/2006/relationships/hyperlink" Target="https://www.landefeld.de/artikel/de/advc-6-10-a-p-a-188065-kurzhubzylinder/OT-FESTO003870" TargetMode="External"/><Relationship Id="rId197" Type="http://schemas.openxmlformats.org/officeDocument/2006/relationships/hyperlink" Target="https://de.wiautomation.com/siemens/industrial-communication/6GK56150AA002AA2" TargetMode="External"/><Relationship Id="rId201" Type="http://schemas.openxmlformats.org/officeDocument/2006/relationships/comments" Target="../comments1.xml"/><Relationship Id="rId17" Type="http://schemas.openxmlformats.org/officeDocument/2006/relationships/hyperlink" Target="https://uk.misumi-ec.com/vona2/detail/221302445913/?PNSearch=SMBR-8-8&amp;HissuCode=SMBR-8-8&amp;Keyword=SMBR-8-8&amp;list=SuggestPreview&amp;searchFlow=suggest2productshist" TargetMode="External"/><Relationship Id="rId38" Type="http://schemas.openxmlformats.org/officeDocument/2006/relationships/hyperlink" Target="https://uk.misumi-ec.com/vona2/detail/110302261370/?PNSearch=CBM4-22&amp;HissuCode=CBM4-22&amp;Keyword=CBM4-22&amp;list=SuggestPreview&amp;searchFlow=suggest2products" TargetMode="External"/><Relationship Id="rId59" Type="http://schemas.openxmlformats.org/officeDocument/2006/relationships/hyperlink" Target="https://www.landefeld.de/artikel/de/pun-h-4x075-sw-197390-kunststoffschlauch/OT-FESTO014714?param_1=%5b%7b%22artnr%22:%22PUN-H-4X0,75-SW%22,%22typ%22:%22fremd%22,%22uebereinstimmung%22:%22unbekannt%22%7d,%7b%22artnr%22:%22PUN-H-4X0,75-SW-SA%22,%22typ%22:%22fremd%22,%22uebereinstimmung%22:%22unbekannt%22%7d%5d&amp;_gl=1*sesxet*_up*MQ..*_gs*MQ..&amp;gclid=Cj0KCQjwlLDQBhDjARIsAPlIefEEBtY2JAze5FzChQR5LzP3Ot60HGDJrCcbDaPFfS1RTijYwiQgwtgaAkPAEALw_wcB&amp;gbraid=0AAAAAD_cjCOrpskdWzB3VIDEfMQyp4ytG" TargetMode="External"/><Relationship Id="rId103" Type="http://schemas.openxmlformats.org/officeDocument/2006/relationships/hyperlink" Target="https://www.landefeld.de/artikel/de/nebm-m12w8-e-2-5-le8-1451675-encoderleitung/OT-FESTO035117?param_1=%5b%7b%22typ%22:%22fremd%22,%22artnr%22:%22NEBM-M12W8-E-2.5-LE8%22,%22uebereinstimmung%22:%22unbekannt%22%7d%5d" TargetMode="External"/><Relationship Id="rId124" Type="http://schemas.openxmlformats.org/officeDocument/2006/relationships/hyperlink" Target="https://www.reichelt.de/de/de/shop/produkt/drucktaster_1_schliesser_tastend-221698?PROVID=2788&amp;gad_source=1&amp;gad_campaignid=21154722893&amp;gbraid=0AAAAADwnxtYgDrDv3NZ-EmJbX88nZlCFO&amp;gclid=Cj0KCQjw-pHPBhCdARIsAHXYWP8_JTaHymPzzASvScHE4Lny2UNPWmH_nl_xsFdsBZmYIqg7" TargetMode="External"/><Relationship Id="rId70" Type="http://schemas.openxmlformats.org/officeDocument/2006/relationships/hyperlink" Target="https://www.conrad.de/de/p/norgren-druckluftschlauch-pu2-0506025c-polyurethan-blau-innen-durchmesser-4-mm-9-bar-meterware-582925.html?awcreativeid=0&amp;sv1=affiliate&amp;sv_campaign_id=323889&amp;awc=11354_1779224470_92b233f3bacc14c3f046695aeae4e70b&amp;hk=WW1&amp;utm_source=awin&amp;utm_medium=cpo&amp;utm_campaign=323889&amp;utm_content=awin_deeplink" TargetMode="External"/><Relationship Id="rId91" Type="http://schemas.openxmlformats.org/officeDocument/2006/relationships/hyperlink" Target="https://industrymall.de/en/plc/26931-festo-nebm-s1w9-e-7-q5-le6-1450739-motor-cable.html" TargetMode="External"/><Relationship Id="rId145" Type="http://schemas.openxmlformats.org/officeDocument/2006/relationships/hyperlink" Target="https://www.conrad.de/de/p/ultimaker-filament-tough-tough-pla-schlagfest-2-85-mm-weiss-750-g-1692965.html?qwer=CjwKCAjwt7XQBhBkEiwAtStpp6YorXlej2U8Dv5XUd_Dr_wb-UTJ9dGrT2JWuvn5LVw1Bi1vqlRK5BoCLykQAvD_BwE&amp;utm_source=google&amp;utm_medium=cpc&amp;utm_campaign=DE+-+PMAX+-+Nonbrand+-+Learning&amp;utm_id=20402606569&amp;gad_source=1&amp;gad_campaignid=20392975386&amp;gbraid=0AAAAAD1-3H4MtiSzAqPcTOI5XwmNm40tv&amp;gclid=CjwKCAjwt7XQBhBkEiwAtStpp6YorXlej2U8Dv5XUd_Dr_wb-UTJ9dGrT2JWuvn5LVw1Bi1vqlRK5BoCLykQAvD_BwE" TargetMode="External"/><Relationship Id="rId166" Type="http://schemas.openxmlformats.org/officeDocument/2006/relationships/hyperlink" Target="https://de.farnell.com/multicomp-pro/rpi5-starter-kit-4gb-eu/raspberry-pi-5-starter-kit-4gb/dp/4632381?&amp;CMP=KNC-GDE-SHOPPING-PMAX-HighROAS&amp;gad_source=1&amp;gad_campaignid=22860533881&amp;gbraid=0AAAAAD8yeHmzNX9vNzm7EFkG3m7BdMG4N&amp;gclid=Cj0KCQjwlLDQBhDjARIsAPlIefGyEMAeeZBtjA14bdA_u5FGMzxxNmftuF87-4XTgz5r7M9bvL_TLikaAoKTEALw_wcB" TargetMode="External"/><Relationship Id="rId187" Type="http://schemas.openxmlformats.org/officeDocument/2006/relationships/hyperlink" Target="https://www.conrad.de/de/p/schneider-electric-xb5ad23-xb5ad23-wahlschalter-ip67-1-st-1982582.html?searchType=SearchRedirect" TargetMode="External"/><Relationship Id="rId1" Type="http://schemas.openxmlformats.org/officeDocument/2006/relationships/hyperlink" Target="https://uk.misumi-ec.com/vona2/detail/110302689610/?PNSearch=EFSP6-30030-900&amp;HissuCode=EFSP6-30030-900&amp;Keyword=EFSP6-30030-900&amp;list=SuggestPreview&amp;searchFlow=suggest2productshist" TargetMode="External"/><Relationship Id="rId28" Type="http://schemas.openxmlformats.org/officeDocument/2006/relationships/hyperlink" Target="https://uk.misumi-ec.com/vona2/detail/110302261370/?PNSearch=CBM6-14&amp;HissuCode=CBM6-14&amp;Keyword=CBM6-14&amp;list=SuggestPreview&amp;searchFlow=suggest2products" TargetMode="External"/><Relationship Id="rId49" Type="http://schemas.openxmlformats.org/officeDocument/2006/relationships/hyperlink" Target="https://de.rs-online.com/web/p/pneumatische-funktionsanschlusse/1214355?cm_mmc=DE-PLA-DS3A-_-google-_-CSS_DE_DE_PMAX_Catch+All-_--_-1214355&amp;matchtype=&amp;&amp;gclsrc=aw.ds&amp;gad_source=1&amp;gad_campaignid=20579356490&amp;gbraid=0AAAAADkeWNN8WGJeOBC4rQWXkfI-NsoA2&amp;gclid=Cj0KCQjwlLDQBhDjARIsAPlIefEq49rymSMICVdsp95hdG3AWPj5GgD7RE4b0-_Fxz0-5lwYPL6f0bkaApKkEALw_wcB" TargetMode="External"/><Relationship Id="rId114" Type="http://schemas.openxmlformats.org/officeDocument/2006/relationships/hyperlink" Target="https://industrymall.de/en/plc/28996-siemens-6ep3436-8sb00-0ay0-sitop-6ep3-436-8sb00-0ay0-psu8200-power-supply.html" TargetMode="External"/><Relationship Id="rId60" Type="http://schemas.openxmlformats.org/officeDocument/2006/relationships/hyperlink" Target="https://www.landefeld.de/artikel/de/amte-m-lh-m5-1205858-schalldaempfer/OT-FESTO040788?param_1=%5b%7b%22typ%22:%22fremd%22,%22uebereinstimmung%22:%22unbekannt%22,%22artnr%22:%22AMTE-M-LH-M5%22%7d%5d" TargetMode="External"/><Relationship Id="rId81" Type="http://schemas.openxmlformats.org/officeDocument/2006/relationships/hyperlink" Target="https://kinetikmsystem.de/en/festo/connection-technology/pneumatic-connection-technology/push-in-fitting-qsc/8186/qsc-6h-100-130700-festo-blanking-plug?number=F0QSC6H100" TargetMode="External"/><Relationship Id="rId135" Type="http://schemas.openxmlformats.org/officeDocument/2006/relationships/hyperlink" Target="https://de.rs-online.com/web/p/drucktaster-schalter/6096007?searchId=3433e9fb-2f70-41f1-b3a2-1bd871d98d48" TargetMode="External"/><Relationship Id="rId156" Type="http://schemas.openxmlformats.org/officeDocument/2006/relationships/hyperlink" Target="https://www.kaufland.de/product/376290930/?kwd=&amp;source=pla&amp;id_unit=387588767387&amp;utm_source=google&amp;utm_medium=cpc&amp;utm_id=23219902049&amp;gad_source=1&amp;gad_campaignid=23214737445&amp;gbraid=0AAAAADprSmGZoyBuk9zsr1rKS9Vrl9uLW&amp;gclid=Cj0KCQjwlLDQBhDjARIsAPlIefFxEzFXrpMLbb8E6GQINqjGaCrxUamaRmICKxBrQapfyCItXkvIFmwaAmGQEALw_wcB" TargetMode="External"/><Relationship Id="rId177" Type="http://schemas.openxmlformats.org/officeDocument/2006/relationships/hyperlink" Target="https://www.landefeld.de/artikel/de/qsml-m3-4-153332-l-steckverschraubung/OT-FESTO015396" TargetMode="External"/><Relationship Id="rId198" Type="http://schemas.openxmlformats.org/officeDocument/2006/relationships/hyperlink" Target="https://www.conrad.de/de/p/siemens-6gk5615-0aa00-2aa2-lan-router-10-100-mbit-s-1737956.html?hk=WW1&amp;insert=AW&amp;utm_source=awin&amp;utm_medium=cpo&amp;utm_content=css&amp;utm_campaign=1835804&amp;awcreativeid=3411712&amp;sv1=affiliate&amp;sv_campaign_id=1835804&amp;awc=11354_1779213202_9beab702c83f8a5fa7ebb8b0a6cf7d15" TargetMode="External"/><Relationship Id="rId18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39" Type="http://schemas.openxmlformats.org/officeDocument/2006/relationships/hyperlink" Target="https://uk.misumi-ec.com/vona2/detail/110302261370/?PNSearch=CBM5-18&amp;HissuCode=CBM5-18&amp;Keyword=CBM5-18&amp;list=SuggestPreview&amp;searchFlow=suggest2products" TargetMode="External"/><Relationship Id="rId50" Type="http://schemas.openxmlformats.org/officeDocument/2006/relationships/hyperlink" Target="https://www.landefeld.de/artikel/de/qsm-m5-4-153304-steckverschraubung/OT-FESTO015368?campaign=GO_SH_landefeld_fallback_DACH&amp;gad_source=1&amp;gad_campaignid=21660067325&amp;gbraid=0AAAAAD_cjCOrpskdWzB3VIDEfMQyp4ytG&amp;gclid=Cj0KCQjwlLDQBhDjARIsAPlIefHXwu9ykSK0WZzPKK16VF5uuxuVULH8r5Px5JkYoGOz-wkhG_AQDYAaAtgOEALw_wcB" TargetMode="External"/><Relationship Id="rId104" Type="http://schemas.openxmlformats.org/officeDocument/2006/relationships/hyperlink" Target="https://de.wiautomation.com/festo/general-automation/1451675-festo-nebm-m12w8-e-2-5-le8" TargetMode="External"/><Relationship Id="rId125" Type="http://schemas.openxmlformats.org/officeDocument/2006/relationships/hyperlink" Target="https://www.reichelt.de/de/de/shop/produkt/drucktaster_1_effner_tastend-221687?PROVID=2788&amp;gad_source=1&amp;gad_campaignid=19009429379&amp;gbraid=0AAAAADwnxtZ7VHmlN3Cmmk7fdYI1kVSuY&amp;gclid=Cj0KCQjw-pHPBhCdARIsAHXYWP-tjmlGlbziI9aKy2vEx6hAQGsCm9KcxNA6eHMaRzh4wANXc6-F" TargetMode="External"/><Relationship Id="rId146" Type="http://schemas.openxmlformats.org/officeDocument/2006/relationships/hyperlink" Target="https://www.conrad.de/de/p/ultimaker-pla-m0751-black-750-211399-filament-pla-2-85-mm-750-g-schwarz-1-st-1528665.html?hk=SEM&amp;utm_source=google&amp;utm_medium=cpc&amp;utm_campaign=DE+-+PMAX+-+NonBrand+-+High&amp;utm_id=22797105046&amp;gad_source=1&amp;gad_campaignid=22787577324&amp;gbraid=0AAAAAD1-3H6UfdB90zvX2Tf-vS90jSpes&amp;gclid=Cj0KCQjwlLDQBhDjARIsAPlIefHYFCBhsYzCSqcGnpdYWlC49suPdOK07HNop6UYNP_TjD4KQ4VSebcaAqv_EALw_wcB" TargetMode="External"/><Relationship Id="rId167" Type="http://schemas.openxmlformats.org/officeDocument/2006/relationships/hyperlink" Target="https://de.rs-online.com/web/p/pneumatische-anschlusse/1216023?searchId=7f0296ae-d2af-4e86-b7df-1370d5761b3f" TargetMode="External"/><Relationship Id="rId188" Type="http://schemas.openxmlformats.org/officeDocument/2006/relationships/hyperlink" Target="https://www.reichelt.de/de/de/shop/produkt/patchkabel_rj45_cat_6a_s_ftp_1_m_gruen-196790" TargetMode="External"/><Relationship Id="rId71" Type="http://schemas.openxmlformats.org/officeDocument/2006/relationships/hyperlink" Target="https://de.rs-online.com/web/p/druckluftrohre/1216292?cm_mmc=DE-PLA-DS3A-_-google-_-CSS_DE_DE_PMAX_Catch+All-_--_-1216292&amp;matchtype=&amp;&amp;gclsrc=aw.ds&amp;gad_source=1&amp;gad_campaignid=20579356490&amp;gbraid=0AAAAADkeWNN8WGJeOBC4rQWXkfI-NsoA2&amp;gclid=Cj0KCQjwlLDQBhDjARIsAPlIefF3OVRd57-DEovCisCCsoqHZYpgy_SBT-Y9Evay38YQz8hARiXffiYaAljUEALw_wcB" TargetMode="External"/><Relationship Id="rId92" Type="http://schemas.openxmlformats.org/officeDocument/2006/relationships/hyperlink" Target="https://industrymall.de/en/hydraulics/27019-festo-egc-80-700-tb-kf-0h-gk-556814-toothed-belt-axi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26C9-471F-4D73-90D2-94D4CEF1CEE1}">
  <dimension ref="A1:AV92"/>
  <sheetViews>
    <sheetView tabSelected="1" topLeftCell="A58" workbookViewId="0">
      <selection activeCell="B1" sqref="B1:D92"/>
    </sheetView>
  </sheetViews>
  <sheetFormatPr defaultRowHeight="15"/>
  <cols>
    <col min="1" max="1" width="5.7109375" bestFit="1" customWidth="1"/>
    <col min="2" max="2" width="100.28515625" bestFit="1" customWidth="1"/>
    <col min="3" max="3" width="29.7109375" customWidth="1"/>
    <col min="4" max="4" width="32.140625" customWidth="1"/>
    <col min="5" max="5" width="9.42578125" customWidth="1"/>
    <col min="6" max="6" width="39" customWidth="1"/>
    <col min="7" max="7" width="15" bestFit="1" customWidth="1"/>
    <col min="8" max="8" width="9.7109375" bestFit="1" customWidth="1"/>
    <col min="9" max="9" width="5" bestFit="1" customWidth="1"/>
    <col min="10" max="11" width="7" customWidth="1"/>
    <col min="12" max="12" width="9.42578125" customWidth="1"/>
    <col min="13" max="13" width="10.28515625" customWidth="1"/>
    <col min="14" max="14" width="10.28515625" style="23" bestFit="1" customWidth="1"/>
    <col min="15" max="15" width="3.28515625" customWidth="1"/>
    <col min="16" max="16" width="15" bestFit="1" customWidth="1"/>
    <col min="17" max="17" width="9.7109375" bestFit="1" customWidth="1"/>
    <col min="18" max="18" width="4.5703125" bestFit="1" customWidth="1"/>
    <col min="19" max="20" width="7.5703125" customWidth="1"/>
    <col min="21" max="21" width="9.42578125" customWidth="1"/>
    <col min="22" max="22" width="10.28515625" customWidth="1"/>
    <col min="23" max="23" width="10.28515625" bestFit="1" customWidth="1"/>
    <col min="24" max="24" width="2.140625" customWidth="1"/>
    <col min="25" max="25" width="15" bestFit="1" customWidth="1"/>
    <col min="26" max="26" width="9.7109375" bestFit="1" customWidth="1"/>
    <col min="27" max="27" width="4.5703125" bestFit="1" customWidth="1"/>
    <col min="28" max="28" width="5.42578125" customWidth="1"/>
    <col min="29" max="29" width="8" customWidth="1"/>
    <col min="30" max="30" width="9.42578125" customWidth="1"/>
    <col min="31" max="31" width="10.28515625" customWidth="1"/>
    <col min="32" max="32" width="10.28515625" bestFit="1" customWidth="1"/>
    <col min="33" max="33" width="2.7109375" customWidth="1"/>
    <col min="34" max="34" width="14.28515625" bestFit="1" customWidth="1"/>
    <col min="35" max="35" width="9.7109375" bestFit="1" customWidth="1"/>
    <col min="36" max="36" width="4.5703125" bestFit="1" customWidth="1"/>
    <col min="37" max="37" width="5.42578125" bestFit="1" customWidth="1"/>
    <col min="38" max="38" width="8" bestFit="1" customWidth="1"/>
    <col min="39" max="39" width="9.42578125" bestFit="1" customWidth="1"/>
    <col min="40" max="41" width="10.28515625" bestFit="1" customWidth="1"/>
    <col min="42" max="42" width="3" customWidth="1"/>
    <col min="43" max="43" width="16.140625" bestFit="1" customWidth="1"/>
    <col min="44" max="44" width="41.7109375" bestFit="1" customWidth="1"/>
    <col min="45" max="45" width="47.85546875" bestFit="1" customWidth="1"/>
    <col min="46" max="46" width="47" bestFit="1" customWidth="1"/>
    <col min="47" max="47" width="26.85546875" bestFit="1" customWidth="1"/>
    <col min="48" max="48" width="38.28515625" bestFit="1" customWidth="1"/>
  </cols>
  <sheetData>
    <row r="1" spans="1:48">
      <c r="A1" s="49" t="s">
        <v>0</v>
      </c>
      <c r="B1" s="49" t="s">
        <v>1</v>
      </c>
      <c r="C1" s="49" t="s">
        <v>2</v>
      </c>
      <c r="D1" s="51" t="s">
        <v>3</v>
      </c>
      <c r="E1" s="49" t="s">
        <v>4</v>
      </c>
      <c r="F1" s="52" t="s">
        <v>5</v>
      </c>
      <c r="G1" s="53" t="s">
        <v>340</v>
      </c>
      <c r="H1" s="54"/>
      <c r="I1" s="54"/>
      <c r="J1" s="54"/>
      <c r="K1" s="54"/>
      <c r="L1" s="54"/>
      <c r="M1" s="54"/>
      <c r="N1" s="55"/>
      <c r="O1" s="36"/>
      <c r="P1" s="53" t="s">
        <v>341</v>
      </c>
      <c r="Q1" s="54"/>
      <c r="R1" s="54"/>
      <c r="S1" s="54"/>
      <c r="T1" s="54"/>
      <c r="U1" s="54"/>
      <c r="V1" s="54"/>
      <c r="W1" s="55"/>
      <c r="X1" s="36"/>
      <c r="Y1" s="53" t="s">
        <v>342</v>
      </c>
      <c r="Z1" s="54"/>
      <c r="AA1" s="54"/>
      <c r="AB1" s="54"/>
      <c r="AC1" s="54"/>
      <c r="AD1" s="54"/>
      <c r="AE1" s="54"/>
      <c r="AF1" s="55"/>
      <c r="AG1" s="36"/>
      <c r="AH1" s="53" t="s">
        <v>343</v>
      </c>
      <c r="AI1" s="54"/>
      <c r="AJ1" s="54"/>
      <c r="AK1" s="54"/>
      <c r="AL1" s="54"/>
      <c r="AM1" s="54"/>
      <c r="AN1" s="54"/>
      <c r="AO1" s="55"/>
      <c r="AP1" s="25"/>
      <c r="AQ1" s="49" t="s">
        <v>13</v>
      </c>
      <c r="AR1" s="49" t="s">
        <v>14</v>
      </c>
      <c r="AS1" s="49"/>
      <c r="AT1" s="49"/>
      <c r="AU1" s="49"/>
      <c r="AV1" s="49"/>
    </row>
    <row r="2" spans="1:48">
      <c r="A2" s="49"/>
      <c r="B2" s="49"/>
      <c r="C2" s="49"/>
      <c r="D2" s="51"/>
      <c r="E2" s="49"/>
      <c r="F2" s="52"/>
      <c r="G2" s="26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7" t="s">
        <v>12</v>
      </c>
      <c r="O2" s="36"/>
      <c r="P2" s="26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37" t="s">
        <v>12</v>
      </c>
      <c r="X2" s="36"/>
      <c r="Y2" s="26" t="s">
        <v>6</v>
      </c>
      <c r="Z2" s="2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37" t="s">
        <v>12</v>
      </c>
      <c r="AG2" s="36"/>
      <c r="AH2" s="26" t="s">
        <v>6</v>
      </c>
      <c r="AI2" s="2" t="s">
        <v>7</v>
      </c>
      <c r="AJ2" s="1" t="s">
        <v>8</v>
      </c>
      <c r="AK2" s="1" t="s">
        <v>9</v>
      </c>
      <c r="AL2" s="1" t="s">
        <v>10</v>
      </c>
      <c r="AM2" s="1" t="s">
        <v>11</v>
      </c>
      <c r="AN2" s="1" t="s">
        <v>12</v>
      </c>
      <c r="AO2" s="37" t="s">
        <v>12</v>
      </c>
      <c r="AP2" s="25"/>
      <c r="AQ2" s="49"/>
      <c r="AR2" s="49"/>
      <c r="AS2" s="49"/>
      <c r="AT2" s="49"/>
      <c r="AU2" s="49"/>
      <c r="AV2" s="49"/>
    </row>
    <row r="3" spans="1:48">
      <c r="A3" s="4">
        <v>1</v>
      </c>
      <c r="B3" s="11" t="s">
        <v>224</v>
      </c>
      <c r="C3" s="6" t="s">
        <v>225</v>
      </c>
      <c r="D3" s="6" t="s">
        <v>226</v>
      </c>
      <c r="E3" s="21"/>
      <c r="F3" s="24"/>
      <c r="G3" s="28" t="s">
        <v>348</v>
      </c>
      <c r="H3" s="4" t="s">
        <v>232</v>
      </c>
      <c r="I3" s="14" t="s">
        <v>8</v>
      </c>
      <c r="J3" s="6">
        <v>10.71</v>
      </c>
      <c r="K3" s="6">
        <v>12.75</v>
      </c>
      <c r="L3" s="6">
        <v>8</v>
      </c>
      <c r="M3" s="6">
        <f t="shared" ref="M3:M11" si="0">J3*L3</f>
        <v>85.68</v>
      </c>
      <c r="N3" s="29">
        <f t="shared" ref="N3:N15" si="1">K3*L3</f>
        <v>102</v>
      </c>
      <c r="O3" s="36"/>
      <c r="P3" s="30" t="s">
        <v>227</v>
      </c>
      <c r="Q3" s="7" t="s">
        <v>94</v>
      </c>
      <c r="R3" s="18" t="s">
        <v>8</v>
      </c>
      <c r="S3" s="3"/>
      <c r="T3" s="3">
        <v>206</v>
      </c>
      <c r="U3" s="3">
        <v>8</v>
      </c>
      <c r="V3" s="3">
        <f t="shared" ref="V3:V14" si="2">S3*U3</f>
        <v>0</v>
      </c>
      <c r="W3" s="38">
        <f>T3*U3</f>
        <v>1648</v>
      </c>
      <c r="X3" s="36"/>
      <c r="Y3" s="30" t="s">
        <v>95</v>
      </c>
      <c r="Z3" s="17" t="s">
        <v>94</v>
      </c>
      <c r="AA3" s="18" t="s">
        <v>8</v>
      </c>
      <c r="AB3" s="3"/>
      <c r="AC3" s="3">
        <v>212.74</v>
      </c>
      <c r="AD3" s="3">
        <v>8</v>
      </c>
      <c r="AE3" s="3"/>
      <c r="AF3" s="38">
        <f>AD3*AC3</f>
        <v>1701.92</v>
      </c>
      <c r="AG3" s="36"/>
      <c r="AH3" s="30"/>
      <c r="AI3" s="17"/>
      <c r="AJ3" s="18"/>
      <c r="AK3" s="3"/>
      <c r="AL3" s="3"/>
      <c r="AM3" s="3"/>
      <c r="AN3" s="3"/>
      <c r="AO3" s="38"/>
      <c r="AP3" s="25"/>
      <c r="AQ3" s="7"/>
      <c r="AR3" s="3"/>
      <c r="AS3" s="3"/>
      <c r="AT3" s="3"/>
      <c r="AU3" s="3"/>
      <c r="AV3" s="3"/>
    </row>
    <row r="4" spans="1:48">
      <c r="A4" s="4">
        <v>2</v>
      </c>
      <c r="B4" s="11" t="s">
        <v>228</v>
      </c>
      <c r="C4" s="6" t="s">
        <v>229</v>
      </c>
      <c r="D4" s="6" t="s">
        <v>230</v>
      </c>
      <c r="E4" s="21" t="s">
        <v>231</v>
      </c>
      <c r="F4" s="24"/>
      <c r="G4" s="28" t="s">
        <v>348</v>
      </c>
      <c r="H4" s="4" t="s">
        <v>232</v>
      </c>
      <c r="I4" s="14" t="s">
        <v>8</v>
      </c>
      <c r="J4" s="6">
        <v>67.86</v>
      </c>
      <c r="K4" s="6">
        <v>80.75</v>
      </c>
      <c r="L4" s="6">
        <v>1</v>
      </c>
      <c r="M4" s="6">
        <f t="shared" si="0"/>
        <v>67.86</v>
      </c>
      <c r="N4" s="29">
        <f t="shared" si="1"/>
        <v>80.75</v>
      </c>
      <c r="O4" s="36"/>
      <c r="P4" s="30" t="s">
        <v>95</v>
      </c>
      <c r="Q4" s="7" t="s">
        <v>94</v>
      </c>
      <c r="R4" s="18" t="s">
        <v>8</v>
      </c>
      <c r="S4" s="19">
        <v>427.96</v>
      </c>
      <c r="T4" s="19">
        <v>509.27</v>
      </c>
      <c r="U4" s="3">
        <v>1</v>
      </c>
      <c r="V4" s="3">
        <f t="shared" si="2"/>
        <v>427.96</v>
      </c>
      <c r="W4" s="38">
        <f t="shared" ref="W4:W67" si="3">T4*U4</f>
        <v>509.27</v>
      </c>
      <c r="X4" s="36"/>
      <c r="Y4" s="30" t="s">
        <v>233</v>
      </c>
      <c r="Z4" s="7" t="s">
        <v>94</v>
      </c>
      <c r="AA4" s="18" t="s">
        <v>8</v>
      </c>
      <c r="AB4" s="3"/>
      <c r="AC4" s="19">
        <v>509.27</v>
      </c>
      <c r="AD4" s="3">
        <v>1</v>
      </c>
      <c r="AE4" s="3"/>
      <c r="AF4" s="38">
        <f t="shared" ref="AF4:AF67" si="4">AD4*AC4</f>
        <v>509.27</v>
      </c>
      <c r="AG4" s="36"/>
      <c r="AH4" s="30" t="s">
        <v>227</v>
      </c>
      <c r="AI4" s="17" t="s">
        <v>94</v>
      </c>
      <c r="AJ4" s="18" t="s">
        <v>8</v>
      </c>
      <c r="AK4" s="3"/>
      <c r="AL4" s="3">
        <v>380</v>
      </c>
      <c r="AM4" s="3">
        <v>1</v>
      </c>
      <c r="AN4" s="3"/>
      <c r="AO4" s="45">
        <f t="shared" ref="AO4:AO14" si="5">AL4*AM4</f>
        <v>380</v>
      </c>
      <c r="AP4" s="25"/>
      <c r="AQ4" s="7"/>
      <c r="AR4" s="3"/>
      <c r="AS4" s="3"/>
      <c r="AT4" s="3"/>
      <c r="AU4" s="3"/>
      <c r="AV4" s="3"/>
    </row>
    <row r="5" spans="1:48">
      <c r="A5" s="4">
        <v>3</v>
      </c>
      <c r="B5" s="11" t="s">
        <v>234</v>
      </c>
      <c r="C5" s="6" t="s">
        <v>235</v>
      </c>
      <c r="D5" s="6" t="s">
        <v>236</v>
      </c>
      <c r="E5" s="21" t="s">
        <v>231</v>
      </c>
      <c r="F5" s="24"/>
      <c r="G5" s="28" t="s">
        <v>348</v>
      </c>
      <c r="H5" s="4" t="s">
        <v>232</v>
      </c>
      <c r="I5" s="14" t="s">
        <v>8</v>
      </c>
      <c r="J5" s="6">
        <v>125</v>
      </c>
      <c r="K5" s="6">
        <v>148.75</v>
      </c>
      <c r="L5" s="6">
        <v>1</v>
      </c>
      <c r="M5" s="6">
        <f t="shared" si="0"/>
        <v>125</v>
      </c>
      <c r="N5" s="29">
        <f t="shared" si="1"/>
        <v>148.75</v>
      </c>
      <c r="O5" s="36"/>
      <c r="P5" s="30" t="s">
        <v>95</v>
      </c>
      <c r="Q5" s="7" t="s">
        <v>94</v>
      </c>
      <c r="R5" s="18" t="s">
        <v>8</v>
      </c>
      <c r="S5" s="19">
        <v>466.2</v>
      </c>
      <c r="T5" s="19">
        <v>554.78</v>
      </c>
      <c r="U5" s="3">
        <v>1</v>
      </c>
      <c r="V5" s="3">
        <f t="shared" si="2"/>
        <v>466.2</v>
      </c>
      <c r="W5" s="38">
        <f t="shared" si="3"/>
        <v>554.78</v>
      </c>
      <c r="X5" s="36"/>
      <c r="Y5" s="30" t="s">
        <v>233</v>
      </c>
      <c r="Z5" s="7" t="s">
        <v>94</v>
      </c>
      <c r="AA5" s="18" t="s">
        <v>8</v>
      </c>
      <c r="AB5" s="3"/>
      <c r="AC5" s="3">
        <v>462.32</v>
      </c>
      <c r="AD5" s="3">
        <v>1</v>
      </c>
      <c r="AE5" s="3"/>
      <c r="AF5" s="38">
        <f t="shared" si="4"/>
        <v>462.32</v>
      </c>
      <c r="AG5" s="36"/>
      <c r="AH5" s="30" t="s">
        <v>227</v>
      </c>
      <c r="AI5" s="17" t="s">
        <v>94</v>
      </c>
      <c r="AJ5" s="18" t="s">
        <v>8</v>
      </c>
      <c r="AK5" s="3"/>
      <c r="AL5" s="3">
        <v>465</v>
      </c>
      <c r="AM5" s="3">
        <v>1</v>
      </c>
      <c r="AN5" s="3"/>
      <c r="AO5" s="45">
        <f t="shared" si="5"/>
        <v>465</v>
      </c>
      <c r="AP5" s="25"/>
      <c r="AQ5" s="7"/>
      <c r="AR5" s="3"/>
      <c r="AS5" s="3"/>
      <c r="AT5" s="3"/>
      <c r="AU5" s="3"/>
      <c r="AV5" s="3"/>
    </row>
    <row r="6" spans="1:48">
      <c r="A6" s="4">
        <v>4</v>
      </c>
      <c r="B6" s="11" t="s">
        <v>237</v>
      </c>
      <c r="C6" s="6" t="s">
        <v>238</v>
      </c>
      <c r="D6" s="6" t="s">
        <v>239</v>
      </c>
      <c r="E6" s="21" t="s">
        <v>240</v>
      </c>
      <c r="F6" s="24"/>
      <c r="G6" s="28" t="s">
        <v>348</v>
      </c>
      <c r="H6" s="4" t="s">
        <v>232</v>
      </c>
      <c r="I6" s="14" t="s">
        <v>8</v>
      </c>
      <c r="J6" s="6">
        <v>25</v>
      </c>
      <c r="K6" s="6">
        <v>29.75</v>
      </c>
      <c r="L6" s="6">
        <v>1</v>
      </c>
      <c r="M6" s="6">
        <f t="shared" si="0"/>
        <v>25</v>
      </c>
      <c r="N6" s="29">
        <f t="shared" si="1"/>
        <v>29.75</v>
      </c>
      <c r="O6" s="36"/>
      <c r="P6" s="30" t="s">
        <v>95</v>
      </c>
      <c r="Q6" s="7" t="s">
        <v>94</v>
      </c>
      <c r="R6" s="18" t="s">
        <v>8</v>
      </c>
      <c r="S6" s="19">
        <v>68.48</v>
      </c>
      <c r="T6" s="19">
        <v>81.489999999999995</v>
      </c>
      <c r="U6" s="3">
        <v>1</v>
      </c>
      <c r="V6" s="3">
        <f t="shared" si="2"/>
        <v>68.48</v>
      </c>
      <c r="W6" s="38">
        <f t="shared" si="3"/>
        <v>81.489999999999995</v>
      </c>
      <c r="X6" s="36"/>
      <c r="Y6" s="30" t="s">
        <v>233</v>
      </c>
      <c r="Z6" s="7" t="s">
        <v>94</v>
      </c>
      <c r="AA6" s="18" t="s">
        <v>8</v>
      </c>
      <c r="AB6" s="3"/>
      <c r="AC6" s="3">
        <v>67.91</v>
      </c>
      <c r="AD6" s="3">
        <v>1</v>
      </c>
      <c r="AE6" s="3"/>
      <c r="AF6" s="38">
        <f t="shared" si="4"/>
        <v>67.91</v>
      </c>
      <c r="AG6" s="36"/>
      <c r="AH6" s="30" t="s">
        <v>227</v>
      </c>
      <c r="AI6" s="17" t="s">
        <v>94</v>
      </c>
      <c r="AJ6" s="18" t="s">
        <v>8</v>
      </c>
      <c r="AK6" s="3"/>
      <c r="AL6" s="3">
        <v>75.33</v>
      </c>
      <c r="AM6" s="3">
        <v>1</v>
      </c>
      <c r="AN6" s="3"/>
      <c r="AO6" s="45">
        <f t="shared" si="5"/>
        <v>75.33</v>
      </c>
      <c r="AP6" s="25"/>
      <c r="AQ6" s="7"/>
      <c r="AR6" s="3"/>
      <c r="AS6" s="3"/>
      <c r="AT6" s="3"/>
      <c r="AU6" s="3"/>
      <c r="AV6" s="3"/>
    </row>
    <row r="7" spans="1:48">
      <c r="A7" s="4">
        <v>5</v>
      </c>
      <c r="B7" s="11" t="s">
        <v>241</v>
      </c>
      <c r="C7" s="6" t="s">
        <v>242</v>
      </c>
      <c r="D7" s="6" t="s">
        <v>243</v>
      </c>
      <c r="E7" s="21" t="s">
        <v>231</v>
      </c>
      <c r="F7" s="24"/>
      <c r="G7" s="28" t="s">
        <v>348</v>
      </c>
      <c r="H7" s="4" t="s">
        <v>232</v>
      </c>
      <c r="I7" s="14" t="s">
        <v>8</v>
      </c>
      <c r="J7" s="6">
        <v>17.86</v>
      </c>
      <c r="K7" s="6">
        <v>21.25</v>
      </c>
      <c r="L7" s="6">
        <v>1</v>
      </c>
      <c r="M7" s="6">
        <f t="shared" si="0"/>
        <v>17.86</v>
      </c>
      <c r="N7" s="29">
        <f t="shared" si="1"/>
        <v>21.25</v>
      </c>
      <c r="O7" s="36"/>
      <c r="P7" s="30" t="s">
        <v>95</v>
      </c>
      <c r="Q7" s="7" t="s">
        <v>94</v>
      </c>
      <c r="R7" s="18" t="s">
        <v>8</v>
      </c>
      <c r="S7" s="19">
        <v>109.85</v>
      </c>
      <c r="T7" s="19">
        <v>130.72</v>
      </c>
      <c r="U7" s="3">
        <v>1</v>
      </c>
      <c r="V7" s="3">
        <f t="shared" si="2"/>
        <v>109.85</v>
      </c>
      <c r="W7" s="38">
        <f t="shared" si="3"/>
        <v>130.72</v>
      </c>
      <c r="X7" s="36"/>
      <c r="Y7" s="30" t="s">
        <v>233</v>
      </c>
      <c r="Z7" s="7" t="s">
        <v>94</v>
      </c>
      <c r="AA7" s="18" t="s">
        <v>8</v>
      </c>
      <c r="AB7" s="3"/>
      <c r="AC7" s="3">
        <v>108.93</v>
      </c>
      <c r="AD7" s="3">
        <v>1</v>
      </c>
      <c r="AE7" s="3"/>
      <c r="AF7" s="38">
        <f t="shared" si="4"/>
        <v>108.93</v>
      </c>
      <c r="AG7" s="36"/>
      <c r="AH7" s="30" t="s">
        <v>227</v>
      </c>
      <c r="AI7" s="17" t="s">
        <v>94</v>
      </c>
      <c r="AJ7" s="18" t="s">
        <v>8</v>
      </c>
      <c r="AK7" s="3"/>
      <c r="AL7" s="3">
        <v>99</v>
      </c>
      <c r="AM7" s="3">
        <v>1</v>
      </c>
      <c r="AN7" s="3"/>
      <c r="AO7" s="45">
        <f t="shared" si="5"/>
        <v>99</v>
      </c>
      <c r="AP7" s="25"/>
      <c r="AQ7" s="7"/>
      <c r="AR7" s="3"/>
      <c r="AS7" s="3"/>
      <c r="AT7" s="3"/>
      <c r="AU7" s="3"/>
      <c r="AV7" s="3"/>
    </row>
    <row r="8" spans="1:48">
      <c r="A8" s="4">
        <v>6</v>
      </c>
      <c r="B8" s="11" t="s">
        <v>244</v>
      </c>
      <c r="C8" s="6" t="s">
        <v>245</v>
      </c>
      <c r="D8" s="6" t="s">
        <v>246</v>
      </c>
      <c r="E8" s="21" t="s">
        <v>231</v>
      </c>
      <c r="F8" s="24"/>
      <c r="G8" s="28" t="s">
        <v>348</v>
      </c>
      <c r="H8" s="4" t="s">
        <v>232</v>
      </c>
      <c r="I8" s="14" t="s">
        <v>8</v>
      </c>
      <c r="J8" s="6">
        <v>114.29</v>
      </c>
      <c r="K8" s="6">
        <v>136</v>
      </c>
      <c r="L8" s="6">
        <v>1</v>
      </c>
      <c r="M8" s="6">
        <f t="shared" si="0"/>
        <v>114.29</v>
      </c>
      <c r="N8" s="29">
        <f t="shared" si="1"/>
        <v>136</v>
      </c>
      <c r="O8" s="36"/>
      <c r="P8" s="30" t="s">
        <v>247</v>
      </c>
      <c r="Q8" s="7" t="s">
        <v>94</v>
      </c>
      <c r="R8" s="18" t="s">
        <v>8</v>
      </c>
      <c r="S8" s="19">
        <v>1407.46</v>
      </c>
      <c r="T8" s="19">
        <v>1674.88</v>
      </c>
      <c r="U8" s="3">
        <v>1</v>
      </c>
      <c r="V8" s="3">
        <f t="shared" si="2"/>
        <v>1407.46</v>
      </c>
      <c r="W8" s="38">
        <f t="shared" si="3"/>
        <v>1674.88</v>
      </c>
      <c r="X8" s="36"/>
      <c r="Y8" s="30" t="s">
        <v>233</v>
      </c>
      <c r="Z8" s="7" t="s">
        <v>94</v>
      </c>
      <c r="AA8" s="18" t="s">
        <v>8</v>
      </c>
      <c r="AB8" s="3"/>
      <c r="AC8" s="19">
        <v>1825.22</v>
      </c>
      <c r="AD8" s="3">
        <v>1</v>
      </c>
      <c r="AE8" s="3"/>
      <c r="AF8" s="38">
        <f t="shared" si="4"/>
        <v>1825.22</v>
      </c>
      <c r="AG8" s="36"/>
      <c r="AH8" s="30" t="s">
        <v>227</v>
      </c>
      <c r="AI8" s="17" t="s">
        <v>94</v>
      </c>
      <c r="AJ8" s="18" t="s">
        <v>8</v>
      </c>
      <c r="AK8" s="3"/>
      <c r="AL8" s="3">
        <v>1143.82</v>
      </c>
      <c r="AM8" s="3">
        <v>1</v>
      </c>
      <c r="AN8" s="3"/>
      <c r="AO8" s="45">
        <f t="shared" si="5"/>
        <v>1143.82</v>
      </c>
      <c r="AP8" s="25"/>
      <c r="AQ8" s="7"/>
      <c r="AR8" s="3"/>
      <c r="AS8" s="3"/>
      <c r="AT8" s="3"/>
      <c r="AU8" s="3"/>
      <c r="AV8" s="3"/>
    </row>
    <row r="9" spans="1:48">
      <c r="A9" s="4">
        <v>7</v>
      </c>
      <c r="B9" s="11" t="s">
        <v>248</v>
      </c>
      <c r="C9" s="6" t="s">
        <v>249</v>
      </c>
      <c r="D9" s="6" t="s">
        <v>250</v>
      </c>
      <c r="E9" s="21"/>
      <c r="F9" s="24"/>
      <c r="G9" s="28" t="s">
        <v>348</v>
      </c>
      <c r="H9" s="4" t="s">
        <v>232</v>
      </c>
      <c r="I9" s="14" t="s">
        <v>8</v>
      </c>
      <c r="J9" s="6">
        <v>178.57</v>
      </c>
      <c r="K9" s="6">
        <v>212.5</v>
      </c>
      <c r="L9" s="6">
        <v>1</v>
      </c>
      <c r="M9" s="6">
        <f t="shared" si="0"/>
        <v>178.57</v>
      </c>
      <c r="N9" s="29">
        <f t="shared" si="1"/>
        <v>212.5</v>
      </c>
      <c r="O9" s="36"/>
      <c r="P9" s="30" t="s">
        <v>93</v>
      </c>
      <c r="Q9" s="7" t="s">
        <v>94</v>
      </c>
      <c r="R9" s="18" t="s">
        <v>8</v>
      </c>
      <c r="S9" s="19"/>
      <c r="T9" s="19">
        <v>652.57000000000005</v>
      </c>
      <c r="U9" s="3">
        <v>1</v>
      </c>
      <c r="V9" s="3">
        <f t="shared" si="2"/>
        <v>0</v>
      </c>
      <c r="W9" s="38">
        <f t="shared" si="3"/>
        <v>652.57000000000005</v>
      </c>
      <c r="X9" s="36"/>
      <c r="Y9" s="30" t="s">
        <v>247</v>
      </c>
      <c r="Z9" s="17" t="s">
        <v>94</v>
      </c>
      <c r="AA9" s="18" t="s">
        <v>8</v>
      </c>
      <c r="AB9" s="3"/>
      <c r="AC9" s="3">
        <v>548.38</v>
      </c>
      <c r="AD9" s="3">
        <v>1</v>
      </c>
      <c r="AE9" s="3"/>
      <c r="AF9" s="38">
        <f t="shared" si="4"/>
        <v>548.38</v>
      </c>
      <c r="AG9" s="36"/>
      <c r="AH9" s="30"/>
      <c r="AI9" s="17"/>
      <c r="AJ9" s="18"/>
      <c r="AK9" s="3"/>
      <c r="AL9" s="3"/>
      <c r="AM9" s="3"/>
      <c r="AN9" s="3"/>
      <c r="AO9" s="45">
        <f t="shared" si="5"/>
        <v>0</v>
      </c>
      <c r="AP9" s="25"/>
      <c r="AQ9" s="3"/>
      <c r="AR9" s="3"/>
      <c r="AS9" s="3"/>
      <c r="AT9" s="3"/>
      <c r="AU9" s="3"/>
      <c r="AV9" s="3"/>
    </row>
    <row r="10" spans="1:48">
      <c r="A10" s="4">
        <v>8</v>
      </c>
      <c r="B10" s="11" t="s">
        <v>251</v>
      </c>
      <c r="C10" s="6" t="s">
        <v>91</v>
      </c>
      <c r="D10" s="6" t="s">
        <v>252</v>
      </c>
      <c r="E10" s="21"/>
      <c r="F10" s="24"/>
      <c r="G10" s="28" t="s">
        <v>348</v>
      </c>
      <c r="H10" s="4" t="s">
        <v>232</v>
      </c>
      <c r="I10" s="14" t="s">
        <v>8</v>
      </c>
      <c r="J10" s="6">
        <v>89.29</v>
      </c>
      <c r="K10" s="6">
        <v>106.25</v>
      </c>
      <c r="L10" s="6">
        <v>1</v>
      </c>
      <c r="M10" s="6">
        <f t="shared" si="0"/>
        <v>89.29</v>
      </c>
      <c r="N10" s="29">
        <f t="shared" si="1"/>
        <v>106.25</v>
      </c>
      <c r="O10" s="36"/>
      <c r="P10" s="30" t="s">
        <v>93</v>
      </c>
      <c r="Q10" s="7" t="s">
        <v>94</v>
      </c>
      <c r="R10" s="18" t="s">
        <v>8</v>
      </c>
      <c r="S10" s="19"/>
      <c r="T10" s="19">
        <v>996.24</v>
      </c>
      <c r="U10" s="3">
        <v>1</v>
      </c>
      <c r="V10" s="3">
        <f t="shared" si="2"/>
        <v>0</v>
      </c>
      <c r="W10" s="38">
        <f t="shared" si="3"/>
        <v>996.24</v>
      </c>
      <c r="X10" s="36"/>
      <c r="Y10" s="30" t="s">
        <v>95</v>
      </c>
      <c r="Z10" s="17" t="s">
        <v>94</v>
      </c>
      <c r="AA10" s="18" t="s">
        <v>8</v>
      </c>
      <c r="AB10" s="3"/>
      <c r="AC10" s="3">
        <v>866.74</v>
      </c>
      <c r="AD10" s="3">
        <v>1</v>
      </c>
      <c r="AE10" s="3"/>
      <c r="AF10" s="38">
        <f t="shared" si="4"/>
        <v>866.74</v>
      </c>
      <c r="AG10" s="36"/>
      <c r="AH10" s="30"/>
      <c r="AI10" s="17"/>
      <c r="AJ10" s="18"/>
      <c r="AK10" s="3"/>
      <c r="AL10" s="3"/>
      <c r="AM10" s="3"/>
      <c r="AN10" s="3"/>
      <c r="AO10" s="45">
        <f t="shared" si="5"/>
        <v>0</v>
      </c>
      <c r="AP10" s="25"/>
      <c r="AQ10" s="7"/>
      <c r="AR10" s="3"/>
      <c r="AS10" s="3"/>
      <c r="AT10" s="3"/>
      <c r="AU10" s="3"/>
      <c r="AV10" s="3"/>
    </row>
    <row r="11" spans="1:48">
      <c r="A11" s="4">
        <v>9</v>
      </c>
      <c r="B11" s="11" t="s">
        <v>253</v>
      </c>
      <c r="C11" s="6" t="s">
        <v>254</v>
      </c>
      <c r="D11" s="6" t="s">
        <v>255</v>
      </c>
      <c r="E11" s="21" t="s">
        <v>231</v>
      </c>
      <c r="F11" s="24"/>
      <c r="G11" s="28" t="s">
        <v>348</v>
      </c>
      <c r="H11" s="4" t="s">
        <v>232</v>
      </c>
      <c r="I11" s="14" t="s">
        <v>256</v>
      </c>
      <c r="J11" s="6">
        <v>125</v>
      </c>
      <c r="K11" s="6">
        <v>148.75</v>
      </c>
      <c r="L11" s="6">
        <v>1</v>
      </c>
      <c r="M11" s="6">
        <f t="shared" si="0"/>
        <v>125</v>
      </c>
      <c r="N11" s="29">
        <f t="shared" si="1"/>
        <v>148.75</v>
      </c>
      <c r="O11" s="36"/>
      <c r="P11" s="30" t="s">
        <v>95</v>
      </c>
      <c r="Q11" s="7" t="s">
        <v>94</v>
      </c>
      <c r="R11" s="18" t="s">
        <v>8</v>
      </c>
      <c r="S11" s="19">
        <v>1104.94</v>
      </c>
      <c r="T11" s="19">
        <v>1314.88</v>
      </c>
      <c r="U11" s="3">
        <v>1</v>
      </c>
      <c r="V11" s="3">
        <f t="shared" si="2"/>
        <v>1104.94</v>
      </c>
      <c r="W11" s="38">
        <f t="shared" si="3"/>
        <v>1314.88</v>
      </c>
      <c r="X11" s="36"/>
      <c r="Y11" s="30" t="s">
        <v>211</v>
      </c>
      <c r="Z11" s="7" t="s">
        <v>94</v>
      </c>
      <c r="AA11" s="18" t="s">
        <v>8</v>
      </c>
      <c r="AB11" s="3"/>
      <c r="AC11" s="3">
        <v>1485</v>
      </c>
      <c r="AD11" s="3">
        <v>1</v>
      </c>
      <c r="AE11" s="3"/>
      <c r="AF11" s="38">
        <f t="shared" si="4"/>
        <v>1485</v>
      </c>
      <c r="AG11" s="36"/>
      <c r="AH11" s="30" t="s">
        <v>227</v>
      </c>
      <c r="AI11" s="17" t="s">
        <v>94</v>
      </c>
      <c r="AJ11" s="18" t="s">
        <v>8</v>
      </c>
      <c r="AK11" s="3"/>
      <c r="AL11" s="3">
        <v>684.17</v>
      </c>
      <c r="AM11" s="3">
        <v>1</v>
      </c>
      <c r="AN11" s="3"/>
      <c r="AO11" s="45">
        <f t="shared" si="5"/>
        <v>684.17</v>
      </c>
      <c r="AP11" s="25"/>
      <c r="AQ11" s="3"/>
      <c r="AR11" s="3"/>
      <c r="AS11" s="3"/>
      <c r="AT11" s="3"/>
      <c r="AU11" s="3"/>
      <c r="AV11" s="3"/>
    </row>
    <row r="12" spans="1:48">
      <c r="A12" s="4">
        <v>10</v>
      </c>
      <c r="B12" s="11" t="s">
        <v>305</v>
      </c>
      <c r="C12" s="6" t="s">
        <v>306</v>
      </c>
      <c r="D12" s="6" t="s">
        <v>307</v>
      </c>
      <c r="E12" s="21" t="s">
        <v>240</v>
      </c>
      <c r="F12" s="24"/>
      <c r="G12" s="28" t="s">
        <v>348</v>
      </c>
      <c r="H12" s="4" t="s">
        <v>232</v>
      </c>
      <c r="I12" s="14" t="s">
        <v>8</v>
      </c>
      <c r="J12" s="6"/>
      <c r="K12" s="6">
        <v>25.5</v>
      </c>
      <c r="L12" s="6">
        <v>1</v>
      </c>
      <c r="M12" s="6"/>
      <c r="N12" s="29">
        <f t="shared" si="1"/>
        <v>25.5</v>
      </c>
      <c r="O12" s="36"/>
      <c r="P12" s="30" t="s">
        <v>95</v>
      </c>
      <c r="Q12" s="7" t="s">
        <v>94</v>
      </c>
      <c r="R12" s="18" t="s">
        <v>8</v>
      </c>
      <c r="S12" s="19"/>
      <c r="T12" s="19">
        <v>331.72</v>
      </c>
      <c r="U12" s="3">
        <v>1</v>
      </c>
      <c r="V12" s="3">
        <f t="shared" si="2"/>
        <v>0</v>
      </c>
      <c r="W12" s="38">
        <f t="shared" si="3"/>
        <v>331.72</v>
      </c>
      <c r="X12" s="36"/>
      <c r="Y12" s="30" t="s">
        <v>227</v>
      </c>
      <c r="Z12" s="17" t="s">
        <v>94</v>
      </c>
      <c r="AA12" s="18" t="s">
        <v>8</v>
      </c>
      <c r="AB12" s="3"/>
      <c r="AC12" s="3">
        <v>179.02</v>
      </c>
      <c r="AD12" s="3">
        <v>1</v>
      </c>
      <c r="AE12" s="3"/>
      <c r="AF12" s="38">
        <f t="shared" si="4"/>
        <v>179.02</v>
      </c>
      <c r="AG12" s="36"/>
      <c r="AH12" s="30"/>
      <c r="AI12" s="17"/>
      <c r="AJ12" s="18"/>
      <c r="AK12" s="3"/>
      <c r="AL12" s="3"/>
      <c r="AM12" s="3"/>
      <c r="AN12" s="3"/>
      <c r="AO12" s="45">
        <f t="shared" si="5"/>
        <v>0</v>
      </c>
      <c r="AP12" s="25"/>
      <c r="AQ12" s="7"/>
      <c r="AR12" s="3"/>
      <c r="AS12" s="3"/>
      <c r="AT12" s="3"/>
      <c r="AU12" s="3"/>
      <c r="AV12" s="3"/>
    </row>
    <row r="13" spans="1:48">
      <c r="A13" s="4">
        <v>11</v>
      </c>
      <c r="B13" s="11" t="s">
        <v>257</v>
      </c>
      <c r="C13" s="6" t="s">
        <v>258</v>
      </c>
      <c r="D13" s="6" t="s">
        <v>259</v>
      </c>
      <c r="E13" s="21" t="s">
        <v>240</v>
      </c>
      <c r="F13" s="24"/>
      <c r="G13" s="28" t="s">
        <v>227</v>
      </c>
      <c r="H13" s="4" t="s">
        <v>94</v>
      </c>
      <c r="I13" s="14" t="s">
        <v>8</v>
      </c>
      <c r="J13" s="6"/>
      <c r="K13" s="6">
        <v>415.84</v>
      </c>
      <c r="L13" s="6">
        <v>1</v>
      </c>
      <c r="M13" s="6"/>
      <c r="N13" s="29">
        <f t="shared" si="1"/>
        <v>415.84</v>
      </c>
      <c r="O13" s="36"/>
      <c r="P13" s="30" t="s">
        <v>95</v>
      </c>
      <c r="Q13" s="7" t="s">
        <v>94</v>
      </c>
      <c r="R13" s="18" t="s">
        <v>8</v>
      </c>
      <c r="S13" s="19">
        <v>708.94</v>
      </c>
      <c r="T13" s="19">
        <v>843.64</v>
      </c>
      <c r="U13" s="3">
        <v>1</v>
      </c>
      <c r="V13" s="3">
        <f t="shared" si="2"/>
        <v>708.94</v>
      </c>
      <c r="W13" s="38">
        <f t="shared" si="3"/>
        <v>843.64</v>
      </c>
      <c r="X13" s="36"/>
      <c r="Y13" s="30" t="s">
        <v>211</v>
      </c>
      <c r="Z13" s="7" t="s">
        <v>94</v>
      </c>
      <c r="AA13" s="18" t="s">
        <v>8</v>
      </c>
      <c r="AB13" s="3"/>
      <c r="AC13" s="3">
        <v>814.47</v>
      </c>
      <c r="AD13" s="3">
        <v>1</v>
      </c>
      <c r="AE13" s="3"/>
      <c r="AF13" s="38">
        <f t="shared" si="4"/>
        <v>814.47</v>
      </c>
      <c r="AG13" s="36"/>
      <c r="AH13" s="30"/>
      <c r="AI13" s="17"/>
      <c r="AJ13" s="18"/>
      <c r="AK13" s="3"/>
      <c r="AL13" s="3"/>
      <c r="AM13" s="3"/>
      <c r="AN13" s="3"/>
      <c r="AO13" s="45">
        <f t="shared" si="5"/>
        <v>0</v>
      </c>
      <c r="AP13" s="25"/>
      <c r="AQ13" s="3"/>
      <c r="AR13" s="3"/>
      <c r="AS13" s="3"/>
      <c r="AT13" s="3"/>
      <c r="AU13" s="3"/>
      <c r="AV13" s="3"/>
    </row>
    <row r="14" spans="1:48">
      <c r="A14" s="4">
        <v>12</v>
      </c>
      <c r="B14" s="11" t="s">
        <v>260</v>
      </c>
      <c r="C14" s="6" t="s">
        <v>261</v>
      </c>
      <c r="D14" s="6" t="s">
        <v>262</v>
      </c>
      <c r="E14" s="21" t="s">
        <v>240</v>
      </c>
      <c r="F14" s="24"/>
      <c r="G14" s="28" t="s">
        <v>227</v>
      </c>
      <c r="H14" s="4" t="s">
        <v>94</v>
      </c>
      <c r="I14" s="14" t="s">
        <v>8</v>
      </c>
      <c r="J14" s="6"/>
      <c r="K14" s="6">
        <v>475</v>
      </c>
      <c r="L14" s="6">
        <v>1</v>
      </c>
      <c r="M14" s="6"/>
      <c r="N14" s="29">
        <f t="shared" si="1"/>
        <v>475</v>
      </c>
      <c r="O14" s="36"/>
      <c r="P14" s="30" t="s">
        <v>95</v>
      </c>
      <c r="Q14" s="7" t="s">
        <v>94</v>
      </c>
      <c r="R14" s="18" t="s">
        <v>8</v>
      </c>
      <c r="S14" s="19">
        <v>407.03</v>
      </c>
      <c r="T14" s="19">
        <v>484.37</v>
      </c>
      <c r="U14" s="3">
        <v>1</v>
      </c>
      <c r="V14" s="3">
        <f t="shared" si="2"/>
        <v>407.03</v>
      </c>
      <c r="W14" s="38">
        <f t="shared" si="3"/>
        <v>484.37</v>
      </c>
      <c r="X14" s="36"/>
      <c r="Y14" s="30" t="s">
        <v>211</v>
      </c>
      <c r="Z14" s="7" t="s">
        <v>94</v>
      </c>
      <c r="AA14" s="18" t="s">
        <v>8</v>
      </c>
      <c r="AB14" s="3"/>
      <c r="AC14" s="3">
        <v>475</v>
      </c>
      <c r="AD14" s="3">
        <v>1</v>
      </c>
      <c r="AE14" s="3"/>
      <c r="AF14" s="38">
        <f t="shared" si="4"/>
        <v>475</v>
      </c>
      <c r="AG14" s="36"/>
      <c r="AH14" s="30"/>
      <c r="AI14" s="17"/>
      <c r="AJ14" s="18"/>
      <c r="AK14" s="3"/>
      <c r="AL14" s="3"/>
      <c r="AM14" s="3"/>
      <c r="AN14" s="3"/>
      <c r="AO14" s="45">
        <f t="shared" si="5"/>
        <v>0</v>
      </c>
      <c r="AP14" s="25"/>
      <c r="AQ14" s="3"/>
      <c r="AR14" s="3"/>
      <c r="AS14" s="3"/>
      <c r="AT14" s="3"/>
      <c r="AU14" s="3"/>
      <c r="AV14" s="3"/>
    </row>
    <row r="15" spans="1:48">
      <c r="A15" s="4">
        <v>13</v>
      </c>
      <c r="B15" s="11" t="s">
        <v>263</v>
      </c>
      <c r="C15" s="6" t="s">
        <v>264</v>
      </c>
      <c r="D15" s="6" t="s">
        <v>265</v>
      </c>
      <c r="E15" s="21" t="s">
        <v>231</v>
      </c>
      <c r="F15" s="24"/>
      <c r="G15" s="28" t="s">
        <v>227</v>
      </c>
      <c r="H15" s="4" t="s">
        <v>94</v>
      </c>
      <c r="I15" s="14" t="s">
        <v>8</v>
      </c>
      <c r="J15" s="6"/>
      <c r="K15" s="6">
        <v>545.01</v>
      </c>
      <c r="L15" s="6">
        <v>1</v>
      </c>
      <c r="M15" s="6"/>
      <c r="N15" s="29">
        <f t="shared" si="1"/>
        <v>545.01</v>
      </c>
      <c r="O15" s="36"/>
      <c r="P15" s="30" t="s">
        <v>211</v>
      </c>
      <c r="Q15" s="7" t="s">
        <v>94</v>
      </c>
      <c r="R15" s="18" t="s">
        <v>8</v>
      </c>
      <c r="S15" s="19"/>
      <c r="T15" s="19">
        <v>643.73</v>
      </c>
      <c r="U15" s="3">
        <v>1</v>
      </c>
      <c r="V15" s="3"/>
      <c r="W15" s="38">
        <f t="shared" si="3"/>
        <v>643.73</v>
      </c>
      <c r="X15" s="36"/>
      <c r="Y15" s="30" t="s">
        <v>95</v>
      </c>
      <c r="Z15" s="7" t="s">
        <v>94</v>
      </c>
      <c r="AA15" s="18" t="s">
        <v>8</v>
      </c>
      <c r="AB15" s="3"/>
      <c r="AC15" s="3">
        <v>1458.57</v>
      </c>
      <c r="AD15" s="3">
        <v>1</v>
      </c>
      <c r="AE15" s="3"/>
      <c r="AF15" s="38">
        <f t="shared" si="4"/>
        <v>1458.57</v>
      </c>
      <c r="AG15" s="36"/>
      <c r="AH15" s="30"/>
      <c r="AI15" s="17"/>
      <c r="AJ15" s="18"/>
      <c r="AK15" s="3"/>
      <c r="AL15" s="3"/>
      <c r="AM15" s="3"/>
      <c r="AN15" s="3"/>
      <c r="AO15" s="45"/>
      <c r="AP15" s="25"/>
      <c r="AQ15" s="3"/>
      <c r="AR15" s="3"/>
      <c r="AS15" s="3"/>
      <c r="AT15" s="3"/>
      <c r="AU15" s="3"/>
      <c r="AV15" s="3"/>
    </row>
    <row r="16" spans="1:48">
      <c r="A16" s="4">
        <v>14</v>
      </c>
      <c r="B16" s="5" t="s">
        <v>15</v>
      </c>
      <c r="C16" s="6" t="s">
        <v>16</v>
      </c>
      <c r="D16" s="6" t="s">
        <v>17</v>
      </c>
      <c r="E16" s="21"/>
      <c r="F16" s="50" t="s">
        <v>354</v>
      </c>
      <c r="G16" s="28" t="s">
        <v>344</v>
      </c>
      <c r="H16" s="4"/>
      <c r="I16" s="14" t="s">
        <v>8</v>
      </c>
      <c r="J16" s="6">
        <v>142.74</v>
      </c>
      <c r="K16" s="6">
        <v>169.86</v>
      </c>
      <c r="L16" s="6">
        <v>2</v>
      </c>
      <c r="M16" s="6">
        <v>285.48</v>
      </c>
      <c r="N16" s="29">
        <f>K16*L16</f>
        <v>339.72</v>
      </c>
      <c r="O16" s="36"/>
      <c r="P16" s="30"/>
      <c r="Q16" s="17"/>
      <c r="R16" s="18"/>
      <c r="S16" s="3"/>
      <c r="T16" s="3"/>
      <c r="U16" s="3"/>
      <c r="V16" s="3"/>
      <c r="W16" s="38">
        <f t="shared" si="3"/>
        <v>0</v>
      </c>
      <c r="X16" s="36"/>
      <c r="Y16" s="30"/>
      <c r="Z16" s="17"/>
      <c r="AA16" s="18"/>
      <c r="AB16" s="3"/>
      <c r="AC16" s="3"/>
      <c r="AD16" s="3"/>
      <c r="AE16" s="3"/>
      <c r="AF16" s="38">
        <f t="shared" si="4"/>
        <v>0</v>
      </c>
      <c r="AG16" s="36"/>
      <c r="AH16" s="30"/>
      <c r="AI16" s="17"/>
      <c r="AJ16" s="18"/>
      <c r="AK16" s="3"/>
      <c r="AL16" s="3"/>
      <c r="AM16" s="3"/>
      <c r="AN16" s="3"/>
      <c r="AO16" s="45"/>
      <c r="AP16" s="25"/>
      <c r="AQ16" s="7">
        <v>11</v>
      </c>
      <c r="AR16" s="8" t="s">
        <v>18</v>
      </c>
      <c r="AS16" s="3"/>
      <c r="AT16" s="3"/>
      <c r="AU16" s="3"/>
      <c r="AV16" s="3"/>
    </row>
    <row r="17" spans="1:48">
      <c r="A17" s="4">
        <v>15</v>
      </c>
      <c r="B17" s="5" t="s">
        <v>19</v>
      </c>
      <c r="C17" s="6" t="s">
        <v>20</v>
      </c>
      <c r="D17" s="6" t="s">
        <v>21</v>
      </c>
      <c r="E17" s="21"/>
      <c r="F17" s="50"/>
      <c r="G17" s="28" t="s">
        <v>344</v>
      </c>
      <c r="H17" s="4"/>
      <c r="I17" s="14" t="s">
        <v>8</v>
      </c>
      <c r="J17" s="6">
        <v>29.28</v>
      </c>
      <c r="K17" s="6">
        <v>34.840000000000003</v>
      </c>
      <c r="L17" s="6">
        <v>4</v>
      </c>
      <c r="M17" s="6">
        <v>117.12</v>
      </c>
      <c r="N17" s="29">
        <f t="shared" ref="N17:N80" si="6">K17*L17</f>
        <v>139.36000000000001</v>
      </c>
      <c r="O17" s="36"/>
      <c r="P17" s="30"/>
      <c r="Q17" s="17"/>
      <c r="R17" s="18"/>
      <c r="S17" s="3"/>
      <c r="T17" s="3"/>
      <c r="U17" s="3"/>
      <c r="V17" s="3"/>
      <c r="W17" s="38">
        <f t="shared" si="3"/>
        <v>0</v>
      </c>
      <c r="X17" s="36"/>
      <c r="Y17" s="30"/>
      <c r="Z17" s="17"/>
      <c r="AA17" s="18"/>
      <c r="AB17" s="3"/>
      <c r="AC17" s="3"/>
      <c r="AD17" s="3"/>
      <c r="AE17" s="3"/>
      <c r="AF17" s="38">
        <f t="shared" si="4"/>
        <v>0</v>
      </c>
      <c r="AG17" s="36"/>
      <c r="AH17" s="30"/>
      <c r="AI17" s="17"/>
      <c r="AJ17" s="18"/>
      <c r="AK17" s="3"/>
      <c r="AL17" s="3"/>
      <c r="AM17" s="3"/>
      <c r="AN17" s="3"/>
      <c r="AO17" s="45"/>
      <c r="AP17" s="25"/>
      <c r="AQ17" s="7">
        <v>3</v>
      </c>
      <c r="AR17" s="9" t="s">
        <v>22</v>
      </c>
      <c r="AS17" s="3" t="s">
        <v>23</v>
      </c>
      <c r="AT17" s="3" t="s">
        <v>24</v>
      </c>
      <c r="AU17" s="3" t="s">
        <v>25</v>
      </c>
      <c r="AV17" s="3"/>
    </row>
    <row r="18" spans="1:48">
      <c r="A18" s="4">
        <v>16</v>
      </c>
      <c r="B18" s="5" t="s">
        <v>26</v>
      </c>
      <c r="C18" s="6" t="s">
        <v>27</v>
      </c>
      <c r="D18" s="6" t="s">
        <v>28</v>
      </c>
      <c r="E18" s="21"/>
      <c r="F18" s="50"/>
      <c r="G18" s="28" t="s">
        <v>344</v>
      </c>
      <c r="H18" s="4"/>
      <c r="I18" s="14" t="s">
        <v>8</v>
      </c>
      <c r="J18" s="6">
        <v>1.51</v>
      </c>
      <c r="K18" s="6">
        <v>1.8</v>
      </c>
      <c r="L18" s="6">
        <v>50</v>
      </c>
      <c r="M18" s="6">
        <v>75.5</v>
      </c>
      <c r="N18" s="29">
        <f t="shared" si="6"/>
        <v>90</v>
      </c>
      <c r="O18" s="36"/>
      <c r="P18" s="30"/>
      <c r="Q18" s="17"/>
      <c r="R18" s="18"/>
      <c r="S18" s="3"/>
      <c r="T18" s="3"/>
      <c r="U18" s="3"/>
      <c r="V18" s="3"/>
      <c r="W18" s="38">
        <f t="shared" si="3"/>
        <v>0</v>
      </c>
      <c r="X18" s="36"/>
      <c r="Y18" s="30"/>
      <c r="Z18" s="17"/>
      <c r="AA18" s="18"/>
      <c r="AB18" s="3"/>
      <c r="AC18" s="3"/>
      <c r="AD18" s="3"/>
      <c r="AE18" s="3"/>
      <c r="AF18" s="38">
        <f t="shared" si="4"/>
        <v>0</v>
      </c>
      <c r="AG18" s="36"/>
      <c r="AH18" s="30"/>
      <c r="AI18" s="17"/>
      <c r="AJ18" s="18"/>
      <c r="AK18" s="3"/>
      <c r="AL18" s="3"/>
      <c r="AM18" s="3"/>
      <c r="AN18" s="3"/>
      <c r="AO18" s="45"/>
      <c r="AP18" s="25"/>
      <c r="AQ18" s="7">
        <v>1</v>
      </c>
      <c r="AR18" s="3" t="s">
        <v>29</v>
      </c>
      <c r="AS18" s="3" t="s">
        <v>30</v>
      </c>
      <c r="AT18" s="3" t="s">
        <v>31</v>
      </c>
      <c r="AU18" s="3"/>
      <c r="AV18" s="3"/>
    </row>
    <row r="19" spans="1:48">
      <c r="A19" s="4">
        <v>17</v>
      </c>
      <c r="B19" s="5" t="s">
        <v>32</v>
      </c>
      <c r="C19" s="6" t="s">
        <v>33</v>
      </c>
      <c r="D19" s="6" t="s">
        <v>34</v>
      </c>
      <c r="E19" s="21"/>
      <c r="F19" s="50"/>
      <c r="G19" s="28" t="s">
        <v>344</v>
      </c>
      <c r="H19" s="4"/>
      <c r="I19" s="14" t="s">
        <v>8</v>
      </c>
      <c r="J19" s="6">
        <v>0.06</v>
      </c>
      <c r="K19" s="6">
        <v>7.0000000000000007E-2</v>
      </c>
      <c r="L19" s="6">
        <v>100</v>
      </c>
      <c r="M19" s="15">
        <v>6</v>
      </c>
      <c r="N19" s="29">
        <f t="shared" si="6"/>
        <v>7.0000000000000009</v>
      </c>
      <c r="O19" s="36"/>
      <c r="P19" s="30"/>
      <c r="Q19" s="17"/>
      <c r="R19" s="18"/>
      <c r="S19" s="3"/>
      <c r="T19" s="3"/>
      <c r="U19" s="3"/>
      <c r="V19" s="19"/>
      <c r="W19" s="38">
        <f t="shared" si="3"/>
        <v>0</v>
      </c>
      <c r="X19" s="36"/>
      <c r="Y19" s="30"/>
      <c r="Z19" s="17"/>
      <c r="AA19" s="18"/>
      <c r="AB19" s="3"/>
      <c r="AC19" s="3"/>
      <c r="AD19" s="3"/>
      <c r="AE19" s="19"/>
      <c r="AF19" s="38">
        <f t="shared" si="4"/>
        <v>0</v>
      </c>
      <c r="AG19" s="36"/>
      <c r="AH19" s="30"/>
      <c r="AI19" s="17"/>
      <c r="AJ19" s="18"/>
      <c r="AK19" s="3"/>
      <c r="AL19" s="3"/>
      <c r="AM19" s="3"/>
      <c r="AN19" s="19"/>
      <c r="AO19" s="45"/>
      <c r="AP19" s="25"/>
      <c r="AQ19" s="7">
        <v>8</v>
      </c>
      <c r="AR19" s="3" t="s">
        <v>35</v>
      </c>
      <c r="AS19" s="9" t="s">
        <v>36</v>
      </c>
      <c r="AT19" s="3" t="s">
        <v>37</v>
      </c>
      <c r="AU19" s="3" t="s">
        <v>38</v>
      </c>
      <c r="AV19" s="3" t="s">
        <v>39</v>
      </c>
    </row>
    <row r="20" spans="1:48">
      <c r="A20" s="4">
        <v>18</v>
      </c>
      <c r="B20" s="5" t="s">
        <v>40</v>
      </c>
      <c r="C20" s="6" t="s">
        <v>41</v>
      </c>
      <c r="D20" s="6" t="s">
        <v>42</v>
      </c>
      <c r="E20" s="21"/>
      <c r="F20" s="50"/>
      <c r="G20" s="28" t="s">
        <v>344</v>
      </c>
      <c r="H20" s="4"/>
      <c r="I20" s="14" t="s">
        <v>8</v>
      </c>
      <c r="J20" s="6">
        <v>36.4</v>
      </c>
      <c r="K20" s="6">
        <v>43.32</v>
      </c>
      <c r="L20" s="6">
        <v>1</v>
      </c>
      <c r="M20" s="15">
        <v>36.4</v>
      </c>
      <c r="N20" s="29">
        <f t="shared" si="6"/>
        <v>43.32</v>
      </c>
      <c r="O20" s="36"/>
      <c r="P20" s="30"/>
      <c r="Q20" s="17"/>
      <c r="R20" s="18"/>
      <c r="S20" s="3"/>
      <c r="T20" s="3"/>
      <c r="U20" s="3"/>
      <c r="V20" s="19"/>
      <c r="W20" s="38">
        <f t="shared" si="3"/>
        <v>0</v>
      </c>
      <c r="X20" s="36"/>
      <c r="Y20" s="30"/>
      <c r="Z20" s="17"/>
      <c r="AA20" s="18"/>
      <c r="AB20" s="3"/>
      <c r="AC20" s="3"/>
      <c r="AD20" s="3"/>
      <c r="AE20" s="19"/>
      <c r="AF20" s="38">
        <f t="shared" si="4"/>
        <v>0</v>
      </c>
      <c r="AG20" s="36"/>
      <c r="AH20" s="30"/>
      <c r="AI20" s="17"/>
      <c r="AJ20" s="18"/>
      <c r="AK20" s="3"/>
      <c r="AL20" s="3"/>
      <c r="AM20" s="3"/>
      <c r="AN20" s="19"/>
      <c r="AO20" s="45"/>
      <c r="AP20" s="25"/>
      <c r="AQ20" s="7">
        <v>1</v>
      </c>
      <c r="AR20" s="3" t="s">
        <v>43</v>
      </c>
      <c r="AS20" s="3" t="s">
        <v>38</v>
      </c>
      <c r="AT20" s="3" t="s">
        <v>44</v>
      </c>
      <c r="AU20" s="3" t="s">
        <v>45</v>
      </c>
      <c r="AV20" s="3"/>
    </row>
    <row r="21" spans="1:48">
      <c r="A21" s="4">
        <v>19</v>
      </c>
      <c r="B21" s="5" t="s">
        <v>46</v>
      </c>
      <c r="C21" s="6" t="s">
        <v>47</v>
      </c>
      <c r="D21" s="6" t="s">
        <v>48</v>
      </c>
      <c r="E21" s="21"/>
      <c r="F21" s="50"/>
      <c r="G21" s="28" t="s">
        <v>344</v>
      </c>
      <c r="H21" s="4"/>
      <c r="I21" s="14" t="s">
        <v>8</v>
      </c>
      <c r="J21" s="6">
        <v>4.54</v>
      </c>
      <c r="K21" s="6">
        <v>5.4</v>
      </c>
      <c r="L21" s="6">
        <v>4</v>
      </c>
      <c r="M21" s="6">
        <v>18.16</v>
      </c>
      <c r="N21" s="29">
        <f t="shared" si="6"/>
        <v>21.6</v>
      </c>
      <c r="O21" s="36"/>
      <c r="P21" s="30"/>
      <c r="Q21" s="17"/>
      <c r="R21" s="18"/>
      <c r="S21" s="3"/>
      <c r="T21" s="3"/>
      <c r="U21" s="3"/>
      <c r="V21" s="3"/>
      <c r="W21" s="38">
        <f t="shared" si="3"/>
        <v>0</v>
      </c>
      <c r="X21" s="36"/>
      <c r="Y21" s="30"/>
      <c r="Z21" s="17"/>
      <c r="AA21" s="18"/>
      <c r="AB21" s="3"/>
      <c r="AC21" s="3"/>
      <c r="AD21" s="3"/>
      <c r="AE21" s="3"/>
      <c r="AF21" s="38">
        <f t="shared" si="4"/>
        <v>0</v>
      </c>
      <c r="AG21" s="36"/>
      <c r="AH21" s="30"/>
      <c r="AI21" s="17"/>
      <c r="AJ21" s="18"/>
      <c r="AK21" s="3"/>
      <c r="AL21" s="3"/>
      <c r="AM21" s="3"/>
      <c r="AN21" s="3"/>
      <c r="AO21" s="45"/>
      <c r="AP21" s="25"/>
      <c r="AQ21" s="7">
        <v>8</v>
      </c>
      <c r="AR21" s="3" t="s">
        <v>49</v>
      </c>
      <c r="AS21" s="3"/>
      <c r="AT21" s="3"/>
      <c r="AU21" s="3"/>
      <c r="AV21" s="3"/>
    </row>
    <row r="22" spans="1:48">
      <c r="A22" s="4">
        <v>20</v>
      </c>
      <c r="B22" s="5" t="s">
        <v>50</v>
      </c>
      <c r="C22" s="6" t="s">
        <v>47</v>
      </c>
      <c r="D22" s="6" t="s">
        <v>51</v>
      </c>
      <c r="E22" s="21"/>
      <c r="F22" s="50"/>
      <c r="G22" s="28" t="s">
        <v>344</v>
      </c>
      <c r="H22" s="4"/>
      <c r="I22" s="14" t="s">
        <v>8</v>
      </c>
      <c r="J22" s="6">
        <v>1.83</v>
      </c>
      <c r="K22" s="6">
        <v>2.1800000000000002</v>
      </c>
      <c r="L22" s="6">
        <v>16</v>
      </c>
      <c r="M22" s="6">
        <v>29.28</v>
      </c>
      <c r="N22" s="29">
        <f t="shared" si="6"/>
        <v>34.880000000000003</v>
      </c>
      <c r="O22" s="36"/>
      <c r="P22" s="30"/>
      <c r="Q22" s="17"/>
      <c r="R22" s="18"/>
      <c r="S22" s="3"/>
      <c r="T22" s="3"/>
      <c r="U22" s="3"/>
      <c r="V22" s="3"/>
      <c r="W22" s="38">
        <f t="shared" si="3"/>
        <v>0</v>
      </c>
      <c r="X22" s="36"/>
      <c r="Y22" s="30"/>
      <c r="Z22" s="17"/>
      <c r="AA22" s="18"/>
      <c r="AB22" s="3"/>
      <c r="AC22" s="3"/>
      <c r="AD22" s="3"/>
      <c r="AE22" s="3"/>
      <c r="AF22" s="38">
        <f t="shared" si="4"/>
        <v>0</v>
      </c>
      <c r="AG22" s="36"/>
      <c r="AH22" s="30"/>
      <c r="AI22" s="17"/>
      <c r="AJ22" s="18"/>
      <c r="AK22" s="3"/>
      <c r="AL22" s="3"/>
      <c r="AM22" s="3"/>
      <c r="AN22" s="3"/>
      <c r="AO22" s="45"/>
      <c r="AP22" s="25"/>
      <c r="AQ22" s="7">
        <v>1</v>
      </c>
      <c r="AR22" s="3" t="s">
        <v>52</v>
      </c>
      <c r="AS22" s="3" t="s">
        <v>53</v>
      </c>
      <c r="AT22" s="3" t="s">
        <v>54</v>
      </c>
      <c r="AU22" s="3" t="s">
        <v>55</v>
      </c>
      <c r="AV22" s="3"/>
    </row>
    <row r="23" spans="1:48">
      <c r="A23" s="4">
        <v>21</v>
      </c>
      <c r="B23" s="5" t="s">
        <v>56</v>
      </c>
      <c r="C23" s="6" t="s">
        <v>57</v>
      </c>
      <c r="D23" s="6" t="s">
        <v>58</v>
      </c>
      <c r="E23" s="21"/>
      <c r="F23" s="50"/>
      <c r="G23" s="28" t="s">
        <v>344</v>
      </c>
      <c r="H23" s="4"/>
      <c r="I23" s="14" t="s">
        <v>8</v>
      </c>
      <c r="J23" s="6">
        <v>32.5</v>
      </c>
      <c r="K23" s="6">
        <v>38.68</v>
      </c>
      <c r="L23" s="6">
        <v>2</v>
      </c>
      <c r="M23" s="15">
        <v>65</v>
      </c>
      <c r="N23" s="29">
        <f t="shared" si="6"/>
        <v>77.36</v>
      </c>
      <c r="O23" s="36"/>
      <c r="P23" s="30"/>
      <c r="Q23" s="17"/>
      <c r="R23" s="18"/>
      <c r="S23" s="3"/>
      <c r="T23" s="3"/>
      <c r="U23" s="3"/>
      <c r="V23" s="19"/>
      <c r="W23" s="38">
        <f t="shared" si="3"/>
        <v>0</v>
      </c>
      <c r="X23" s="36"/>
      <c r="Y23" s="30"/>
      <c r="Z23" s="17"/>
      <c r="AA23" s="18"/>
      <c r="AB23" s="3"/>
      <c r="AC23" s="3"/>
      <c r="AD23" s="3"/>
      <c r="AE23" s="19"/>
      <c r="AF23" s="38">
        <f t="shared" si="4"/>
        <v>0</v>
      </c>
      <c r="AG23" s="36"/>
      <c r="AH23" s="30"/>
      <c r="AI23" s="17"/>
      <c r="AJ23" s="18"/>
      <c r="AK23" s="3"/>
      <c r="AL23" s="3"/>
      <c r="AM23" s="3"/>
      <c r="AN23" s="19"/>
      <c r="AO23" s="45"/>
      <c r="AP23" s="25"/>
      <c r="AQ23" s="7">
        <v>10</v>
      </c>
      <c r="AR23" s="3" t="s">
        <v>59</v>
      </c>
      <c r="AS23" s="3" t="s">
        <v>60</v>
      </c>
      <c r="AT23" s="3"/>
      <c r="AU23" s="3"/>
      <c r="AV23" s="3"/>
    </row>
    <row r="24" spans="1:48">
      <c r="A24" s="4">
        <v>22</v>
      </c>
      <c r="B24" s="5" t="s">
        <v>61</v>
      </c>
      <c r="C24" s="6" t="s">
        <v>62</v>
      </c>
      <c r="D24" s="6" t="s">
        <v>63</v>
      </c>
      <c r="E24" s="21"/>
      <c r="F24" s="50"/>
      <c r="G24" s="28" t="s">
        <v>344</v>
      </c>
      <c r="H24" s="4"/>
      <c r="I24" s="14" t="s">
        <v>8</v>
      </c>
      <c r="J24" s="6">
        <v>38.1</v>
      </c>
      <c r="K24" s="6">
        <v>45.34</v>
      </c>
      <c r="L24" s="6">
        <v>2</v>
      </c>
      <c r="M24" s="15">
        <v>76.2</v>
      </c>
      <c r="N24" s="29">
        <f t="shared" si="6"/>
        <v>90.68</v>
      </c>
      <c r="O24" s="36"/>
      <c r="P24" s="30"/>
      <c r="Q24" s="17"/>
      <c r="R24" s="18"/>
      <c r="S24" s="3"/>
      <c r="T24" s="3"/>
      <c r="U24" s="3"/>
      <c r="V24" s="19"/>
      <c r="W24" s="38">
        <f t="shared" si="3"/>
        <v>0</v>
      </c>
      <c r="X24" s="36"/>
      <c r="Y24" s="30"/>
      <c r="Z24" s="17"/>
      <c r="AA24" s="18"/>
      <c r="AB24" s="3"/>
      <c r="AC24" s="3"/>
      <c r="AD24" s="3"/>
      <c r="AE24" s="19"/>
      <c r="AF24" s="38">
        <f t="shared" si="4"/>
        <v>0</v>
      </c>
      <c r="AG24" s="36"/>
      <c r="AH24" s="30"/>
      <c r="AI24" s="17"/>
      <c r="AJ24" s="18"/>
      <c r="AK24" s="3"/>
      <c r="AL24" s="3"/>
      <c r="AM24" s="3"/>
      <c r="AN24" s="19"/>
      <c r="AO24" s="45"/>
      <c r="AP24" s="25"/>
      <c r="AQ24" s="7">
        <v>9</v>
      </c>
      <c r="AR24" s="3" t="s">
        <v>64</v>
      </c>
      <c r="AS24" s="3" t="s">
        <v>65</v>
      </c>
      <c r="AT24" s="3"/>
      <c r="AU24" s="3"/>
      <c r="AV24" s="3"/>
    </row>
    <row r="25" spans="1:48">
      <c r="A25" s="4">
        <v>23</v>
      </c>
      <c r="B25" s="5" t="s">
        <v>66</v>
      </c>
      <c r="C25" s="6" t="s">
        <v>67</v>
      </c>
      <c r="D25" s="6" t="s">
        <v>68</v>
      </c>
      <c r="E25" s="21"/>
      <c r="F25" s="50"/>
      <c r="G25" s="28" t="s">
        <v>344</v>
      </c>
      <c r="H25" s="4"/>
      <c r="I25" s="14" t="s">
        <v>8</v>
      </c>
      <c r="J25" s="6">
        <v>21.6</v>
      </c>
      <c r="K25" s="6">
        <v>25.7</v>
      </c>
      <c r="L25" s="6">
        <v>2</v>
      </c>
      <c r="M25" s="15">
        <v>43.2</v>
      </c>
      <c r="N25" s="29">
        <f t="shared" si="6"/>
        <v>51.4</v>
      </c>
      <c r="O25" s="36"/>
      <c r="P25" s="30"/>
      <c r="Q25" s="17"/>
      <c r="R25" s="18"/>
      <c r="S25" s="3"/>
      <c r="T25" s="3"/>
      <c r="U25" s="3"/>
      <c r="V25" s="19"/>
      <c r="W25" s="38">
        <f t="shared" si="3"/>
        <v>0</v>
      </c>
      <c r="X25" s="36"/>
      <c r="Y25" s="30"/>
      <c r="Z25" s="17"/>
      <c r="AA25" s="18"/>
      <c r="AB25" s="3"/>
      <c r="AC25" s="3"/>
      <c r="AD25" s="3"/>
      <c r="AE25" s="19"/>
      <c r="AF25" s="38">
        <f t="shared" si="4"/>
        <v>0</v>
      </c>
      <c r="AG25" s="36"/>
      <c r="AH25" s="30"/>
      <c r="AI25" s="17"/>
      <c r="AJ25" s="18"/>
      <c r="AK25" s="3"/>
      <c r="AL25" s="3"/>
      <c r="AM25" s="3"/>
      <c r="AN25" s="19"/>
      <c r="AO25" s="45"/>
      <c r="AP25" s="25"/>
      <c r="AQ25" s="7">
        <v>3</v>
      </c>
      <c r="AR25" s="3" t="s">
        <v>23</v>
      </c>
      <c r="AS25" s="3" t="s">
        <v>24</v>
      </c>
      <c r="AT25" s="3" t="s">
        <v>69</v>
      </c>
      <c r="AU25" s="3"/>
      <c r="AV25" s="3"/>
    </row>
    <row r="26" spans="1:48">
      <c r="A26" s="4">
        <v>24</v>
      </c>
      <c r="B26" s="5" t="s">
        <v>70</v>
      </c>
      <c r="C26" s="6" t="s">
        <v>71</v>
      </c>
      <c r="D26" s="6" t="s">
        <v>72</v>
      </c>
      <c r="E26" s="21"/>
      <c r="F26" s="50"/>
      <c r="G26" s="28" t="s">
        <v>344</v>
      </c>
      <c r="H26" s="4"/>
      <c r="I26" s="14" t="s">
        <v>8</v>
      </c>
      <c r="J26" s="6">
        <v>2.12</v>
      </c>
      <c r="K26" s="6">
        <v>2.52</v>
      </c>
      <c r="L26" s="6">
        <v>10</v>
      </c>
      <c r="M26" s="15">
        <v>21.200000000000003</v>
      </c>
      <c r="N26" s="29">
        <f t="shared" si="6"/>
        <v>25.2</v>
      </c>
      <c r="O26" s="36"/>
      <c r="P26" s="30"/>
      <c r="Q26" s="17"/>
      <c r="R26" s="18"/>
      <c r="S26" s="3"/>
      <c r="T26" s="3"/>
      <c r="U26" s="3"/>
      <c r="V26" s="19"/>
      <c r="W26" s="38">
        <f t="shared" si="3"/>
        <v>0</v>
      </c>
      <c r="X26" s="36"/>
      <c r="Y26" s="30"/>
      <c r="Z26" s="17"/>
      <c r="AA26" s="18"/>
      <c r="AB26" s="3"/>
      <c r="AC26" s="3"/>
      <c r="AD26" s="3"/>
      <c r="AE26" s="19"/>
      <c r="AF26" s="38">
        <f t="shared" si="4"/>
        <v>0</v>
      </c>
      <c r="AG26" s="36"/>
      <c r="AH26" s="30"/>
      <c r="AI26" s="17"/>
      <c r="AJ26" s="18"/>
      <c r="AK26" s="3"/>
      <c r="AL26" s="3"/>
      <c r="AM26" s="3"/>
      <c r="AN26" s="19"/>
      <c r="AO26" s="45"/>
      <c r="AP26" s="25"/>
      <c r="AQ26" s="7">
        <v>1</v>
      </c>
      <c r="AR26" s="3" t="s">
        <v>52</v>
      </c>
      <c r="AS26" s="3" t="s">
        <v>73</v>
      </c>
      <c r="AT26" s="3" t="s">
        <v>74</v>
      </c>
      <c r="AU26" s="3" t="s">
        <v>55</v>
      </c>
      <c r="AV26" s="3"/>
    </row>
    <row r="27" spans="1:48">
      <c r="A27" s="4">
        <v>25</v>
      </c>
      <c r="B27" s="5" t="s">
        <v>32</v>
      </c>
      <c r="C27" s="6" t="s">
        <v>33</v>
      </c>
      <c r="D27" s="6" t="s">
        <v>75</v>
      </c>
      <c r="E27" s="21"/>
      <c r="F27" s="50"/>
      <c r="G27" s="28" t="s">
        <v>344</v>
      </c>
      <c r="H27" s="4"/>
      <c r="I27" s="14" t="s">
        <v>8</v>
      </c>
      <c r="J27" s="6">
        <v>0.08</v>
      </c>
      <c r="K27" s="6">
        <v>0.1</v>
      </c>
      <c r="L27" s="6">
        <v>100</v>
      </c>
      <c r="M27" s="6">
        <v>8</v>
      </c>
      <c r="N27" s="29">
        <f t="shared" si="6"/>
        <v>10</v>
      </c>
      <c r="O27" s="36"/>
      <c r="P27" s="30"/>
      <c r="Q27" s="17"/>
      <c r="R27" s="18"/>
      <c r="S27" s="3"/>
      <c r="T27" s="3"/>
      <c r="U27" s="3"/>
      <c r="V27" s="3"/>
      <c r="W27" s="38">
        <f t="shared" si="3"/>
        <v>0</v>
      </c>
      <c r="X27" s="36"/>
      <c r="Y27" s="30"/>
      <c r="Z27" s="17"/>
      <c r="AA27" s="18"/>
      <c r="AB27" s="3"/>
      <c r="AC27" s="3"/>
      <c r="AD27" s="3"/>
      <c r="AE27" s="3"/>
      <c r="AF27" s="38">
        <f t="shared" si="4"/>
        <v>0</v>
      </c>
      <c r="AG27" s="36"/>
      <c r="AH27" s="30"/>
      <c r="AI27" s="17"/>
      <c r="AJ27" s="18"/>
      <c r="AK27" s="3"/>
      <c r="AL27" s="3"/>
      <c r="AM27" s="3"/>
      <c r="AN27" s="3"/>
      <c r="AO27" s="45"/>
      <c r="AP27" s="25"/>
      <c r="AQ27" s="7">
        <v>8</v>
      </c>
      <c r="AR27" s="3" t="s">
        <v>35</v>
      </c>
      <c r="AS27" s="10" t="s">
        <v>76</v>
      </c>
      <c r="AT27" s="3" t="s">
        <v>77</v>
      </c>
      <c r="AU27" s="3" t="s">
        <v>38</v>
      </c>
      <c r="AV27" s="3" t="s">
        <v>39</v>
      </c>
    </row>
    <row r="28" spans="1:48">
      <c r="A28" s="4">
        <v>26</v>
      </c>
      <c r="B28" s="5" t="s">
        <v>78</v>
      </c>
      <c r="C28" s="6" t="s">
        <v>41</v>
      </c>
      <c r="D28" s="6" t="s">
        <v>79</v>
      </c>
      <c r="E28" s="21"/>
      <c r="F28" s="50"/>
      <c r="G28" s="28" t="s">
        <v>344</v>
      </c>
      <c r="H28" s="4"/>
      <c r="I28" s="14" t="s">
        <v>8</v>
      </c>
      <c r="J28" s="6">
        <v>0.43</v>
      </c>
      <c r="K28" s="6">
        <v>0.51</v>
      </c>
      <c r="L28" s="6">
        <v>100</v>
      </c>
      <c r="M28" s="6">
        <v>43</v>
      </c>
      <c r="N28" s="29">
        <f t="shared" si="6"/>
        <v>51</v>
      </c>
      <c r="O28" s="36"/>
      <c r="P28" s="30"/>
      <c r="Q28" s="17"/>
      <c r="R28" s="18"/>
      <c r="S28" s="3"/>
      <c r="T28" s="3"/>
      <c r="U28" s="3"/>
      <c r="V28" s="3"/>
      <c r="W28" s="38">
        <f t="shared" si="3"/>
        <v>0</v>
      </c>
      <c r="X28" s="36"/>
      <c r="Y28" s="30"/>
      <c r="Z28" s="17"/>
      <c r="AA28" s="18"/>
      <c r="AB28" s="3"/>
      <c r="AC28" s="3"/>
      <c r="AD28" s="3"/>
      <c r="AE28" s="3"/>
      <c r="AF28" s="38">
        <f t="shared" si="4"/>
        <v>0</v>
      </c>
      <c r="AG28" s="36"/>
      <c r="AH28" s="30"/>
      <c r="AI28" s="17"/>
      <c r="AJ28" s="18"/>
      <c r="AK28" s="3"/>
      <c r="AL28" s="3"/>
      <c r="AM28" s="3"/>
      <c r="AN28" s="3"/>
      <c r="AO28" s="45"/>
      <c r="AP28" s="25"/>
      <c r="AQ28" s="7">
        <v>1</v>
      </c>
      <c r="AR28" s="3" t="s">
        <v>80</v>
      </c>
      <c r="AS28" s="3" t="s">
        <v>38</v>
      </c>
      <c r="AT28" s="3" t="s">
        <v>44</v>
      </c>
      <c r="AU28" s="3" t="s">
        <v>81</v>
      </c>
      <c r="AV28" s="3"/>
    </row>
    <row r="29" spans="1:48">
      <c r="A29" s="4">
        <v>27</v>
      </c>
      <c r="B29" s="5" t="s">
        <v>82</v>
      </c>
      <c r="C29" s="6" t="s">
        <v>83</v>
      </c>
      <c r="D29" s="6" t="s">
        <v>84</v>
      </c>
      <c r="E29" s="21"/>
      <c r="F29" s="50"/>
      <c r="G29" s="28" t="s">
        <v>344</v>
      </c>
      <c r="H29" s="4"/>
      <c r="I29" s="14" t="s">
        <v>8</v>
      </c>
      <c r="J29" s="6">
        <v>14.69</v>
      </c>
      <c r="K29" s="6">
        <v>17.48</v>
      </c>
      <c r="L29" s="6">
        <v>1</v>
      </c>
      <c r="M29" s="6">
        <v>14.69</v>
      </c>
      <c r="N29" s="29">
        <f t="shared" si="6"/>
        <v>17.48</v>
      </c>
      <c r="O29" s="36"/>
      <c r="P29" s="30"/>
      <c r="Q29" s="17"/>
      <c r="R29" s="18"/>
      <c r="S29" s="3"/>
      <c r="T29" s="3"/>
      <c r="U29" s="3"/>
      <c r="V29" s="3"/>
      <c r="W29" s="38">
        <f t="shared" si="3"/>
        <v>0</v>
      </c>
      <c r="X29" s="36"/>
      <c r="Y29" s="30"/>
      <c r="Z29" s="17"/>
      <c r="AA29" s="18"/>
      <c r="AB29" s="3"/>
      <c r="AC29" s="3"/>
      <c r="AD29" s="3"/>
      <c r="AE29" s="3"/>
      <c r="AF29" s="38">
        <f t="shared" si="4"/>
        <v>0</v>
      </c>
      <c r="AG29" s="36"/>
      <c r="AH29" s="30"/>
      <c r="AI29" s="17"/>
      <c r="AJ29" s="18"/>
      <c r="AK29" s="3"/>
      <c r="AL29" s="3"/>
      <c r="AM29" s="3"/>
      <c r="AN29" s="3"/>
      <c r="AO29" s="45"/>
      <c r="AP29" s="25"/>
      <c r="AQ29" s="7">
        <v>8</v>
      </c>
      <c r="AR29" s="3" t="s">
        <v>85</v>
      </c>
      <c r="AS29" s="3" t="s">
        <v>86</v>
      </c>
      <c r="AT29" s="3" t="s">
        <v>87</v>
      </c>
      <c r="AU29" s="9" t="s">
        <v>88</v>
      </c>
      <c r="AV29" s="3" t="s">
        <v>89</v>
      </c>
    </row>
    <row r="30" spans="1:48">
      <c r="A30" s="4">
        <v>28</v>
      </c>
      <c r="B30" s="11" t="s">
        <v>90</v>
      </c>
      <c r="C30" s="6" t="s">
        <v>91</v>
      </c>
      <c r="D30" s="12" t="s">
        <v>92</v>
      </c>
      <c r="E30" s="21"/>
      <c r="F30" s="24"/>
      <c r="G30" s="28" t="s">
        <v>344</v>
      </c>
      <c r="H30" s="4"/>
      <c r="I30" s="14" t="s">
        <v>8</v>
      </c>
      <c r="J30" s="6">
        <v>38</v>
      </c>
      <c r="K30" s="6">
        <v>45.22</v>
      </c>
      <c r="L30" s="6">
        <v>1</v>
      </c>
      <c r="M30" s="6">
        <v>38</v>
      </c>
      <c r="N30" s="29">
        <f t="shared" si="6"/>
        <v>45.22</v>
      </c>
      <c r="O30" s="36"/>
      <c r="P30" s="30" t="s">
        <v>93</v>
      </c>
      <c r="Q30" s="17" t="s">
        <v>94</v>
      </c>
      <c r="R30" s="18" t="s">
        <v>8</v>
      </c>
      <c r="S30" s="3"/>
      <c r="T30" s="3">
        <v>47.43</v>
      </c>
      <c r="U30" s="3">
        <v>1</v>
      </c>
      <c r="V30" s="3"/>
      <c r="W30" s="38">
        <f t="shared" si="3"/>
        <v>47.43</v>
      </c>
      <c r="X30" s="36"/>
      <c r="Y30" s="30" t="s">
        <v>95</v>
      </c>
      <c r="Z30" s="17" t="s">
        <v>94</v>
      </c>
      <c r="AA30" s="18" t="s">
        <v>8</v>
      </c>
      <c r="AB30" s="3"/>
      <c r="AC30" s="3">
        <v>47.43</v>
      </c>
      <c r="AD30" s="3">
        <v>1</v>
      </c>
      <c r="AE30" s="3"/>
      <c r="AF30" s="38">
        <f t="shared" si="4"/>
        <v>47.43</v>
      </c>
      <c r="AG30" s="36"/>
      <c r="AH30" s="30"/>
      <c r="AI30" s="17"/>
      <c r="AJ30" s="18"/>
      <c r="AK30" s="3"/>
      <c r="AL30" s="3"/>
      <c r="AM30" s="3"/>
      <c r="AN30" s="3"/>
      <c r="AO30" s="45"/>
      <c r="AP30" s="25"/>
      <c r="AQ30" s="7">
        <v>3</v>
      </c>
      <c r="AR30" s="3" t="s">
        <v>96</v>
      </c>
      <c r="AS30" s="3" t="s">
        <v>97</v>
      </c>
      <c r="AT30" s="3" t="s">
        <v>98</v>
      </c>
      <c r="AU30" s="3" t="s">
        <v>99</v>
      </c>
      <c r="AV30" s="3"/>
    </row>
    <row r="31" spans="1:48">
      <c r="A31" s="4">
        <v>29</v>
      </c>
      <c r="B31" s="11" t="s">
        <v>100</v>
      </c>
      <c r="C31" s="6" t="s">
        <v>101</v>
      </c>
      <c r="D31" s="6" t="s">
        <v>102</v>
      </c>
      <c r="E31" s="21"/>
      <c r="F31" s="24"/>
      <c r="G31" s="28" t="s">
        <v>344</v>
      </c>
      <c r="H31" s="4"/>
      <c r="I31" s="14" t="s">
        <v>8</v>
      </c>
      <c r="J31" s="6">
        <v>30.4</v>
      </c>
      <c r="K31" s="6">
        <v>32.75</v>
      </c>
      <c r="L31" s="6">
        <v>2</v>
      </c>
      <c r="M31" s="6">
        <v>60.8</v>
      </c>
      <c r="N31" s="29">
        <f t="shared" si="6"/>
        <v>65.5</v>
      </c>
      <c r="O31" s="36"/>
      <c r="P31" s="30" t="s">
        <v>93</v>
      </c>
      <c r="Q31" s="17" t="s">
        <v>94</v>
      </c>
      <c r="R31" s="18" t="s">
        <v>8</v>
      </c>
      <c r="S31" s="3"/>
      <c r="T31" s="3">
        <v>36.869999999999997</v>
      </c>
      <c r="U31" s="3">
        <v>2</v>
      </c>
      <c r="V31" s="3"/>
      <c r="W31" s="38">
        <f t="shared" si="3"/>
        <v>73.739999999999995</v>
      </c>
      <c r="X31" s="36"/>
      <c r="Y31" s="30" t="s">
        <v>95</v>
      </c>
      <c r="Z31" s="17" t="s">
        <v>94</v>
      </c>
      <c r="AA31" s="18" t="s">
        <v>8</v>
      </c>
      <c r="AB31" s="3"/>
      <c r="AC31" s="3">
        <v>39.53</v>
      </c>
      <c r="AD31" s="3">
        <v>2</v>
      </c>
      <c r="AE31" s="3"/>
      <c r="AF31" s="38">
        <f t="shared" si="4"/>
        <v>79.06</v>
      </c>
      <c r="AG31" s="36"/>
      <c r="AH31" s="30"/>
      <c r="AI31" s="17"/>
      <c r="AJ31" s="18"/>
      <c r="AK31" s="3"/>
      <c r="AL31" s="3"/>
      <c r="AM31" s="3"/>
      <c r="AN31" s="3"/>
      <c r="AO31" s="45"/>
      <c r="AP31" s="25"/>
      <c r="AQ31" s="7">
        <v>3</v>
      </c>
      <c r="AR31" s="3" t="s">
        <v>103</v>
      </c>
      <c r="AS31" s="3" t="s">
        <v>104</v>
      </c>
      <c r="AT31" s="3" t="s">
        <v>105</v>
      </c>
      <c r="AU31" s="3" t="s">
        <v>106</v>
      </c>
      <c r="AV31" s="3"/>
    </row>
    <row r="32" spans="1:48">
      <c r="A32" s="4">
        <v>30</v>
      </c>
      <c r="B32" s="11" t="s">
        <v>107</v>
      </c>
      <c r="C32" s="6" t="s">
        <v>108</v>
      </c>
      <c r="D32" s="6" t="s">
        <v>109</v>
      </c>
      <c r="E32" s="21"/>
      <c r="F32" s="24"/>
      <c r="G32" s="28" t="s">
        <v>344</v>
      </c>
      <c r="H32" s="4"/>
      <c r="I32" s="14" t="s">
        <v>8</v>
      </c>
      <c r="J32" s="6">
        <v>5</v>
      </c>
      <c r="K32" s="6">
        <v>5.95</v>
      </c>
      <c r="L32" s="6">
        <v>2</v>
      </c>
      <c r="M32" s="6">
        <v>10</v>
      </c>
      <c r="N32" s="29">
        <f t="shared" si="6"/>
        <v>11.9</v>
      </c>
      <c r="O32" s="36"/>
      <c r="P32" s="30" t="s">
        <v>93</v>
      </c>
      <c r="Q32" s="17" t="s">
        <v>94</v>
      </c>
      <c r="R32" s="18" t="s">
        <v>8</v>
      </c>
      <c r="S32" s="3"/>
      <c r="T32" s="3">
        <v>6.5</v>
      </c>
      <c r="U32" s="3">
        <v>2</v>
      </c>
      <c r="V32" s="3"/>
      <c r="W32" s="38">
        <f t="shared" si="3"/>
        <v>13</v>
      </c>
      <c r="X32" s="36"/>
      <c r="Y32" s="30" t="s">
        <v>95</v>
      </c>
      <c r="Z32" s="17" t="s">
        <v>94</v>
      </c>
      <c r="AA32" s="18" t="s">
        <v>8</v>
      </c>
      <c r="AB32" s="3"/>
      <c r="AC32" s="3">
        <v>6.5</v>
      </c>
      <c r="AD32" s="3">
        <v>2</v>
      </c>
      <c r="AE32" s="3"/>
      <c r="AF32" s="38">
        <f t="shared" si="4"/>
        <v>13</v>
      </c>
      <c r="AG32" s="36"/>
      <c r="AH32" s="30"/>
      <c r="AI32" s="17"/>
      <c r="AJ32" s="18"/>
      <c r="AK32" s="3"/>
      <c r="AL32" s="3"/>
      <c r="AM32" s="3"/>
      <c r="AN32" s="3"/>
      <c r="AO32" s="45"/>
      <c r="AP32" s="25"/>
      <c r="AQ32" s="7">
        <v>3</v>
      </c>
      <c r="AR32" s="3" t="s">
        <v>110</v>
      </c>
      <c r="AS32" s="3"/>
      <c r="AT32" s="3"/>
      <c r="AU32" s="3"/>
      <c r="AV32" s="3"/>
    </row>
    <row r="33" spans="1:48">
      <c r="A33" s="4">
        <v>31</v>
      </c>
      <c r="B33" s="11" t="s">
        <v>111</v>
      </c>
      <c r="C33" s="6" t="s">
        <v>112</v>
      </c>
      <c r="D33" s="6" t="s">
        <v>113</v>
      </c>
      <c r="E33" s="21"/>
      <c r="F33" s="24"/>
      <c r="G33" s="28" t="s">
        <v>344</v>
      </c>
      <c r="H33" s="4"/>
      <c r="I33" s="14" t="s">
        <v>8</v>
      </c>
      <c r="J33" s="6">
        <v>14.8</v>
      </c>
      <c r="K33" s="6">
        <v>17.61</v>
      </c>
      <c r="L33" s="6">
        <v>4</v>
      </c>
      <c r="M33" s="6">
        <v>59.2</v>
      </c>
      <c r="N33" s="29">
        <f t="shared" si="6"/>
        <v>70.44</v>
      </c>
      <c r="O33" s="36"/>
      <c r="P33" s="30" t="s">
        <v>93</v>
      </c>
      <c r="Q33" s="17" t="s">
        <v>94</v>
      </c>
      <c r="R33" s="18" t="s">
        <v>8</v>
      </c>
      <c r="S33" s="3"/>
      <c r="T33" s="3">
        <v>19.440000000000001</v>
      </c>
      <c r="U33" s="3">
        <v>4</v>
      </c>
      <c r="V33" s="3"/>
      <c r="W33" s="38">
        <f t="shared" si="3"/>
        <v>77.760000000000005</v>
      </c>
      <c r="X33" s="36"/>
      <c r="Y33" s="30" t="s">
        <v>95</v>
      </c>
      <c r="Z33" s="17" t="s">
        <v>94</v>
      </c>
      <c r="AA33" s="18" t="s">
        <v>8</v>
      </c>
      <c r="AB33" s="3"/>
      <c r="AC33" s="3">
        <v>19.440000000000001</v>
      </c>
      <c r="AD33" s="3">
        <v>4</v>
      </c>
      <c r="AE33" s="3"/>
      <c r="AF33" s="38">
        <f t="shared" si="4"/>
        <v>77.760000000000005</v>
      </c>
      <c r="AG33" s="36"/>
      <c r="AH33" s="30"/>
      <c r="AI33" s="17"/>
      <c r="AJ33" s="18"/>
      <c r="AK33" s="3"/>
      <c r="AL33" s="3"/>
      <c r="AM33" s="3"/>
      <c r="AN33" s="3"/>
      <c r="AO33" s="45"/>
      <c r="AP33" s="25"/>
      <c r="AQ33" s="7">
        <v>3</v>
      </c>
      <c r="AR33" s="3" t="s">
        <v>114</v>
      </c>
      <c r="AS33" s="3" t="s">
        <v>115</v>
      </c>
      <c r="AT33" s="3" t="s">
        <v>116</v>
      </c>
      <c r="AU33" s="3"/>
      <c r="AV33" s="3"/>
    </row>
    <row r="34" spans="1:48">
      <c r="A34" s="4">
        <v>32</v>
      </c>
      <c r="B34" s="11" t="s">
        <v>117</v>
      </c>
      <c r="C34" s="6" t="s">
        <v>118</v>
      </c>
      <c r="D34" s="6" t="s">
        <v>119</v>
      </c>
      <c r="E34" s="21"/>
      <c r="F34" s="24"/>
      <c r="G34" s="28" t="s">
        <v>344</v>
      </c>
      <c r="H34" s="4"/>
      <c r="I34" s="14" t="s">
        <v>8</v>
      </c>
      <c r="J34" s="6">
        <v>2.1</v>
      </c>
      <c r="K34" s="6">
        <v>2.5</v>
      </c>
      <c r="L34" s="6">
        <v>27</v>
      </c>
      <c r="M34" s="6">
        <v>56.7</v>
      </c>
      <c r="N34" s="29">
        <f t="shared" si="6"/>
        <v>67.5</v>
      </c>
      <c r="O34" s="36"/>
      <c r="P34" s="30" t="s">
        <v>93</v>
      </c>
      <c r="Q34" s="17" t="s">
        <v>94</v>
      </c>
      <c r="R34" s="18" t="s">
        <v>8</v>
      </c>
      <c r="S34" s="3"/>
      <c r="T34" s="3">
        <v>3.02</v>
      </c>
      <c r="U34" s="3">
        <v>27</v>
      </c>
      <c r="V34" s="3"/>
      <c r="W34" s="38">
        <f t="shared" si="3"/>
        <v>81.540000000000006</v>
      </c>
      <c r="X34" s="36"/>
      <c r="Y34" s="30" t="s">
        <v>95</v>
      </c>
      <c r="Z34" s="17" t="s">
        <v>94</v>
      </c>
      <c r="AA34" s="18" t="s">
        <v>8</v>
      </c>
      <c r="AB34" s="3"/>
      <c r="AC34" s="3">
        <v>30.82</v>
      </c>
      <c r="AD34" s="3">
        <v>3</v>
      </c>
      <c r="AE34" s="3"/>
      <c r="AF34" s="38">
        <f t="shared" si="4"/>
        <v>92.460000000000008</v>
      </c>
      <c r="AG34" s="36"/>
      <c r="AH34" s="30"/>
      <c r="AI34" s="17"/>
      <c r="AJ34" s="18"/>
      <c r="AK34" s="3"/>
      <c r="AL34" s="3"/>
      <c r="AM34" s="3"/>
      <c r="AN34" s="3"/>
      <c r="AO34" s="45"/>
      <c r="AP34" s="25"/>
      <c r="AQ34" s="7">
        <v>3</v>
      </c>
      <c r="AR34" s="3" t="s">
        <v>120</v>
      </c>
      <c r="AS34" s="3" t="s">
        <v>121</v>
      </c>
      <c r="AT34" s="3" t="s">
        <v>122</v>
      </c>
      <c r="AU34" s="3"/>
      <c r="AV34" s="3"/>
    </row>
    <row r="35" spans="1:48">
      <c r="A35" s="4">
        <v>33</v>
      </c>
      <c r="B35" s="11" t="s">
        <v>123</v>
      </c>
      <c r="C35" s="6" t="s">
        <v>124</v>
      </c>
      <c r="D35" s="6" t="s">
        <v>125</v>
      </c>
      <c r="E35" s="21"/>
      <c r="F35" s="24"/>
      <c r="G35" s="28" t="s">
        <v>344</v>
      </c>
      <c r="H35" s="4"/>
      <c r="I35" s="14" t="s">
        <v>8</v>
      </c>
      <c r="J35" s="6">
        <v>2.2999999999999998</v>
      </c>
      <c r="K35" s="6">
        <v>2.74</v>
      </c>
      <c r="L35" s="6">
        <v>20</v>
      </c>
      <c r="M35" s="6">
        <v>46</v>
      </c>
      <c r="N35" s="29">
        <f t="shared" si="6"/>
        <v>54.800000000000004</v>
      </c>
      <c r="O35" s="36"/>
      <c r="P35" s="30" t="s">
        <v>93</v>
      </c>
      <c r="Q35" s="17" t="s">
        <v>94</v>
      </c>
      <c r="R35" s="18" t="s">
        <v>8</v>
      </c>
      <c r="S35" s="3"/>
      <c r="T35" s="3">
        <v>2.88</v>
      </c>
      <c r="U35" s="3">
        <v>15</v>
      </c>
      <c r="V35" s="3"/>
      <c r="W35" s="38">
        <f t="shared" si="3"/>
        <v>43.199999999999996</v>
      </c>
      <c r="X35" s="36"/>
      <c r="Y35" s="30" t="s">
        <v>95</v>
      </c>
      <c r="Z35" s="17" t="s">
        <v>94</v>
      </c>
      <c r="AA35" s="18" t="s">
        <v>8</v>
      </c>
      <c r="AB35" s="3"/>
      <c r="AC35" s="3">
        <v>57.6</v>
      </c>
      <c r="AD35" s="3">
        <v>1</v>
      </c>
      <c r="AE35" s="3"/>
      <c r="AF35" s="38">
        <f t="shared" si="4"/>
        <v>57.6</v>
      </c>
      <c r="AG35" s="36"/>
      <c r="AH35" s="30"/>
      <c r="AI35" s="17"/>
      <c r="AJ35" s="18"/>
      <c r="AK35" s="3"/>
      <c r="AL35" s="3"/>
      <c r="AM35" s="3"/>
      <c r="AN35" s="3"/>
      <c r="AO35" s="45"/>
      <c r="AP35" s="25"/>
      <c r="AQ35" s="7">
        <v>3</v>
      </c>
      <c r="AR35" s="3" t="s">
        <v>98</v>
      </c>
      <c r="AS35" s="3" t="s">
        <v>126</v>
      </c>
      <c r="AT35" s="3" t="s">
        <v>127</v>
      </c>
      <c r="AU35" s="3"/>
      <c r="AV35" s="3"/>
    </row>
    <row r="36" spans="1:48">
      <c r="A36" s="4">
        <v>34</v>
      </c>
      <c r="B36" s="11" t="s">
        <v>128</v>
      </c>
      <c r="C36" s="6" t="s">
        <v>129</v>
      </c>
      <c r="D36" s="6" t="s">
        <v>130</v>
      </c>
      <c r="E36" s="21"/>
      <c r="F36" s="24"/>
      <c r="G36" s="28" t="s">
        <v>344</v>
      </c>
      <c r="H36" s="4"/>
      <c r="I36" s="14" t="s">
        <v>8</v>
      </c>
      <c r="J36" s="6">
        <v>0.7</v>
      </c>
      <c r="K36" s="6">
        <v>0.83</v>
      </c>
      <c r="L36" s="6">
        <v>50</v>
      </c>
      <c r="M36" s="6">
        <v>35</v>
      </c>
      <c r="N36" s="29">
        <f t="shared" si="6"/>
        <v>41.5</v>
      </c>
      <c r="O36" s="36"/>
      <c r="P36" s="30" t="s">
        <v>93</v>
      </c>
      <c r="Q36" s="17" t="s">
        <v>94</v>
      </c>
      <c r="R36" s="18" t="s">
        <v>8</v>
      </c>
      <c r="S36" s="3"/>
      <c r="T36" s="3">
        <v>0.92</v>
      </c>
      <c r="U36" s="3">
        <v>50</v>
      </c>
      <c r="V36" s="3"/>
      <c r="W36" s="38">
        <f t="shared" si="3"/>
        <v>46</v>
      </c>
      <c r="X36" s="36"/>
      <c r="Y36" s="30" t="s">
        <v>95</v>
      </c>
      <c r="Z36" s="17" t="s">
        <v>94</v>
      </c>
      <c r="AA36" s="18" t="s">
        <v>8</v>
      </c>
      <c r="AB36" s="3"/>
      <c r="AC36" s="3">
        <v>45.82</v>
      </c>
      <c r="AD36" s="3">
        <v>1</v>
      </c>
      <c r="AE36" s="3"/>
      <c r="AF36" s="38">
        <f t="shared" si="4"/>
        <v>45.82</v>
      </c>
      <c r="AG36" s="36"/>
      <c r="AH36" s="30"/>
      <c r="AI36" s="17"/>
      <c r="AJ36" s="18"/>
      <c r="AK36" s="3"/>
      <c r="AL36" s="3"/>
      <c r="AM36" s="3"/>
      <c r="AN36" s="3"/>
      <c r="AO36" s="45"/>
      <c r="AP36" s="25"/>
      <c r="AQ36" s="7">
        <v>3</v>
      </c>
      <c r="AR36" s="3" t="s">
        <v>131</v>
      </c>
      <c r="AS36" s="3" t="s">
        <v>132</v>
      </c>
      <c r="AT36" s="3" t="s">
        <v>133</v>
      </c>
      <c r="AU36" s="3"/>
      <c r="AV36" s="3"/>
    </row>
    <row r="37" spans="1:48">
      <c r="A37" s="4">
        <v>35</v>
      </c>
      <c r="B37" s="11" t="s">
        <v>128</v>
      </c>
      <c r="C37" s="6" t="s">
        <v>134</v>
      </c>
      <c r="D37" s="6" t="s">
        <v>135</v>
      </c>
      <c r="E37" s="21"/>
      <c r="F37" s="24"/>
      <c r="G37" s="28" t="s">
        <v>344</v>
      </c>
      <c r="H37" s="4"/>
      <c r="I37" s="14" t="s">
        <v>8</v>
      </c>
      <c r="J37" s="6">
        <v>0.7</v>
      </c>
      <c r="K37" s="6">
        <v>0.83</v>
      </c>
      <c r="L37" s="6">
        <v>50</v>
      </c>
      <c r="M37" s="6">
        <v>35</v>
      </c>
      <c r="N37" s="29">
        <f t="shared" si="6"/>
        <v>41.5</v>
      </c>
      <c r="O37" s="36"/>
      <c r="P37" s="30" t="s">
        <v>93</v>
      </c>
      <c r="Q37" s="17" t="s">
        <v>94</v>
      </c>
      <c r="R37" s="18" t="s">
        <v>8</v>
      </c>
      <c r="S37" s="3"/>
      <c r="T37" s="3">
        <v>0.92</v>
      </c>
      <c r="U37" s="3">
        <v>50</v>
      </c>
      <c r="V37" s="3"/>
      <c r="W37" s="38">
        <f t="shared" si="3"/>
        <v>46</v>
      </c>
      <c r="X37" s="36"/>
      <c r="Y37" s="30" t="s">
        <v>95</v>
      </c>
      <c r="Z37" s="17" t="s">
        <v>94</v>
      </c>
      <c r="AA37" s="18" t="s">
        <v>8</v>
      </c>
      <c r="AB37" s="3"/>
      <c r="AC37" s="3">
        <v>45.82</v>
      </c>
      <c r="AD37" s="3">
        <v>1</v>
      </c>
      <c r="AE37" s="3"/>
      <c r="AF37" s="38">
        <f t="shared" si="4"/>
        <v>45.82</v>
      </c>
      <c r="AG37" s="36"/>
      <c r="AH37" s="30"/>
      <c r="AI37" s="17"/>
      <c r="AJ37" s="18"/>
      <c r="AK37" s="3"/>
      <c r="AL37" s="3"/>
      <c r="AM37" s="3"/>
      <c r="AN37" s="3"/>
      <c r="AO37" s="45"/>
      <c r="AP37" s="25"/>
      <c r="AQ37" s="7"/>
      <c r="AR37" s="3"/>
      <c r="AS37" s="3"/>
      <c r="AT37" s="3"/>
      <c r="AU37" s="3"/>
      <c r="AV37" s="3"/>
    </row>
    <row r="38" spans="1:48">
      <c r="A38" s="4">
        <v>36</v>
      </c>
      <c r="B38" s="11" t="s">
        <v>128</v>
      </c>
      <c r="C38" s="6" t="s">
        <v>136</v>
      </c>
      <c r="D38" s="6" t="s">
        <v>137</v>
      </c>
      <c r="E38" s="21"/>
      <c r="F38" s="24"/>
      <c r="G38" s="28" t="s">
        <v>344</v>
      </c>
      <c r="H38" s="4"/>
      <c r="I38" s="14" t="s">
        <v>8</v>
      </c>
      <c r="J38" s="6">
        <v>0.7</v>
      </c>
      <c r="K38" s="6">
        <v>0.83</v>
      </c>
      <c r="L38" s="6">
        <v>50</v>
      </c>
      <c r="M38" s="6">
        <v>35</v>
      </c>
      <c r="N38" s="29">
        <f t="shared" si="6"/>
        <v>41.5</v>
      </c>
      <c r="O38" s="36"/>
      <c r="P38" s="30" t="s">
        <v>93</v>
      </c>
      <c r="Q38" s="17" t="s">
        <v>94</v>
      </c>
      <c r="R38" s="18" t="s">
        <v>8</v>
      </c>
      <c r="S38" s="3"/>
      <c r="T38" s="3">
        <v>0.92</v>
      </c>
      <c r="U38" s="3">
        <v>50</v>
      </c>
      <c r="V38" s="3"/>
      <c r="W38" s="38">
        <f t="shared" si="3"/>
        <v>46</v>
      </c>
      <c r="X38" s="36"/>
      <c r="Y38" s="30" t="s">
        <v>95</v>
      </c>
      <c r="Z38" s="17" t="s">
        <v>94</v>
      </c>
      <c r="AA38" s="18" t="s">
        <v>8</v>
      </c>
      <c r="AB38" s="3"/>
      <c r="AC38" s="3">
        <v>45.82</v>
      </c>
      <c r="AD38" s="3">
        <v>1</v>
      </c>
      <c r="AE38" s="3"/>
      <c r="AF38" s="38">
        <f t="shared" si="4"/>
        <v>45.82</v>
      </c>
      <c r="AG38" s="36"/>
      <c r="AH38" s="30"/>
      <c r="AI38" s="17"/>
      <c r="AJ38" s="18"/>
      <c r="AK38" s="3"/>
      <c r="AL38" s="3"/>
      <c r="AM38" s="3"/>
      <c r="AN38" s="3"/>
      <c r="AO38" s="45"/>
      <c r="AP38" s="25"/>
      <c r="AQ38" s="7"/>
      <c r="AR38" s="3"/>
      <c r="AS38" s="3"/>
      <c r="AT38" s="3"/>
      <c r="AU38" s="3"/>
      <c r="AV38" s="3"/>
    </row>
    <row r="39" spans="1:48">
      <c r="A39" s="4">
        <v>37</v>
      </c>
      <c r="B39" s="11" t="s">
        <v>138</v>
      </c>
      <c r="C39" s="6" t="s">
        <v>139</v>
      </c>
      <c r="D39" s="6" t="s">
        <v>140</v>
      </c>
      <c r="E39" s="21"/>
      <c r="F39" s="24"/>
      <c r="G39" s="28" t="s">
        <v>344</v>
      </c>
      <c r="H39" s="4"/>
      <c r="I39" s="14" t="s">
        <v>8</v>
      </c>
      <c r="J39" s="6">
        <v>6.5</v>
      </c>
      <c r="K39" s="6">
        <v>7.74</v>
      </c>
      <c r="L39" s="6">
        <v>3</v>
      </c>
      <c r="M39" s="6">
        <v>19.5</v>
      </c>
      <c r="N39" s="29">
        <f t="shared" si="6"/>
        <v>23.22</v>
      </c>
      <c r="O39" s="36"/>
      <c r="P39" s="30" t="s">
        <v>93</v>
      </c>
      <c r="Q39" s="17" t="s">
        <v>94</v>
      </c>
      <c r="R39" s="18" t="s">
        <v>8</v>
      </c>
      <c r="S39" s="3"/>
      <c r="T39" s="3">
        <v>9.09</v>
      </c>
      <c r="U39" s="3">
        <v>3</v>
      </c>
      <c r="V39" s="3"/>
      <c r="W39" s="38">
        <f t="shared" si="3"/>
        <v>27.27</v>
      </c>
      <c r="X39" s="36"/>
      <c r="Y39" s="30" t="s">
        <v>95</v>
      </c>
      <c r="Z39" s="17" t="s">
        <v>94</v>
      </c>
      <c r="AA39" s="18" t="s">
        <v>8</v>
      </c>
      <c r="AB39" s="3"/>
      <c r="AC39" s="3">
        <v>9.09</v>
      </c>
      <c r="AD39" s="3">
        <v>3</v>
      </c>
      <c r="AE39" s="3"/>
      <c r="AF39" s="38">
        <f t="shared" si="4"/>
        <v>27.27</v>
      </c>
      <c r="AG39" s="36"/>
      <c r="AH39" s="30"/>
      <c r="AI39" s="17"/>
      <c r="AJ39" s="18"/>
      <c r="AK39" s="3"/>
      <c r="AL39" s="3"/>
      <c r="AM39" s="3"/>
      <c r="AN39" s="3"/>
      <c r="AO39" s="45"/>
      <c r="AP39" s="25"/>
      <c r="AQ39" s="7"/>
      <c r="AR39" s="3"/>
      <c r="AS39" s="3"/>
      <c r="AT39" s="3"/>
      <c r="AU39" s="3"/>
      <c r="AV39" s="3"/>
    </row>
    <row r="40" spans="1:48">
      <c r="A40" s="4">
        <v>38</v>
      </c>
      <c r="B40" s="5" t="s">
        <v>141</v>
      </c>
      <c r="C40" s="6" t="s">
        <v>142</v>
      </c>
      <c r="D40" s="13" t="s">
        <v>143</v>
      </c>
      <c r="E40" s="21"/>
      <c r="F40" s="50" t="s">
        <v>354</v>
      </c>
      <c r="G40" s="28" t="s">
        <v>344</v>
      </c>
      <c r="H40" s="4"/>
      <c r="I40" s="14" t="s">
        <v>8</v>
      </c>
      <c r="J40" s="6">
        <v>0.67</v>
      </c>
      <c r="K40" s="6">
        <v>0.8</v>
      </c>
      <c r="L40" s="6">
        <v>20</v>
      </c>
      <c r="M40" s="6">
        <v>13.4</v>
      </c>
      <c r="N40" s="29">
        <f t="shared" si="6"/>
        <v>16</v>
      </c>
      <c r="O40" s="36"/>
      <c r="P40" s="30"/>
      <c r="Q40" s="17"/>
      <c r="R40" s="18"/>
      <c r="S40" s="3"/>
      <c r="T40" s="3"/>
      <c r="U40" s="3"/>
      <c r="V40" s="3"/>
      <c r="W40" s="38">
        <f t="shared" si="3"/>
        <v>0</v>
      </c>
      <c r="X40" s="36"/>
      <c r="Y40" s="30"/>
      <c r="Z40" s="17"/>
      <c r="AA40" s="18"/>
      <c r="AB40" s="3"/>
      <c r="AC40" s="3"/>
      <c r="AD40" s="3"/>
      <c r="AE40" s="3"/>
      <c r="AF40" s="38">
        <f t="shared" si="4"/>
        <v>0</v>
      </c>
      <c r="AG40" s="36"/>
      <c r="AH40" s="30"/>
      <c r="AI40" s="17"/>
      <c r="AJ40" s="18"/>
      <c r="AK40" s="3"/>
      <c r="AL40" s="3"/>
      <c r="AM40" s="3"/>
      <c r="AN40" s="3"/>
      <c r="AO40" s="45"/>
      <c r="AP40" s="25"/>
      <c r="AQ40" s="7"/>
      <c r="AR40" s="3"/>
      <c r="AS40" s="3"/>
      <c r="AT40" s="3"/>
      <c r="AU40" s="3"/>
      <c r="AV40" s="3"/>
    </row>
    <row r="41" spans="1:48">
      <c r="A41" s="4">
        <v>39</v>
      </c>
      <c r="B41" s="5" t="s">
        <v>32</v>
      </c>
      <c r="C41" s="6" t="s">
        <v>144</v>
      </c>
      <c r="D41" s="13" t="s">
        <v>145</v>
      </c>
      <c r="E41" s="21"/>
      <c r="F41" s="50"/>
      <c r="G41" s="28" t="s">
        <v>344</v>
      </c>
      <c r="H41" s="4"/>
      <c r="I41" s="14" t="s">
        <v>8</v>
      </c>
      <c r="J41" s="6">
        <v>0.32</v>
      </c>
      <c r="K41" s="6">
        <v>0.38</v>
      </c>
      <c r="L41" s="6">
        <v>20</v>
      </c>
      <c r="M41" s="6">
        <v>6.4</v>
      </c>
      <c r="N41" s="29">
        <f t="shared" si="6"/>
        <v>7.6</v>
      </c>
      <c r="O41" s="36"/>
      <c r="P41" s="30"/>
      <c r="Q41" s="17"/>
      <c r="R41" s="18"/>
      <c r="S41" s="3"/>
      <c r="T41" s="3"/>
      <c r="U41" s="3"/>
      <c r="V41" s="3"/>
      <c r="W41" s="38">
        <f t="shared" si="3"/>
        <v>0</v>
      </c>
      <c r="X41" s="36"/>
      <c r="Y41" s="30"/>
      <c r="Z41" s="17"/>
      <c r="AA41" s="18"/>
      <c r="AB41" s="3"/>
      <c r="AC41" s="3"/>
      <c r="AD41" s="3"/>
      <c r="AE41" s="3"/>
      <c r="AF41" s="38">
        <f t="shared" si="4"/>
        <v>0</v>
      </c>
      <c r="AG41" s="36"/>
      <c r="AH41" s="30"/>
      <c r="AI41" s="17"/>
      <c r="AJ41" s="18"/>
      <c r="AK41" s="3"/>
      <c r="AL41" s="3"/>
      <c r="AM41" s="3"/>
      <c r="AN41" s="3"/>
      <c r="AO41" s="45"/>
      <c r="AP41" s="25"/>
      <c r="AQ41" s="7"/>
      <c r="AR41" s="3"/>
      <c r="AS41" s="3"/>
      <c r="AT41" s="3"/>
      <c r="AU41" s="3"/>
      <c r="AV41" s="3"/>
    </row>
    <row r="42" spans="1:48">
      <c r="A42" s="4">
        <v>40</v>
      </c>
      <c r="B42" s="5" t="s">
        <v>146</v>
      </c>
      <c r="C42" s="6" t="s">
        <v>147</v>
      </c>
      <c r="D42" s="13" t="s">
        <v>148</v>
      </c>
      <c r="E42" s="21"/>
      <c r="F42" s="50"/>
      <c r="G42" s="28" t="s">
        <v>344</v>
      </c>
      <c r="H42" s="4"/>
      <c r="I42" s="14" t="s">
        <v>8</v>
      </c>
      <c r="J42" s="6">
        <v>69.8</v>
      </c>
      <c r="K42" s="6">
        <v>83.06</v>
      </c>
      <c r="L42" s="6">
        <v>1</v>
      </c>
      <c r="M42" s="6">
        <v>69.8</v>
      </c>
      <c r="N42" s="29">
        <f t="shared" si="6"/>
        <v>83.06</v>
      </c>
      <c r="O42" s="36"/>
      <c r="P42" s="30"/>
      <c r="Q42" s="17"/>
      <c r="R42" s="18"/>
      <c r="S42" s="3"/>
      <c r="T42" s="3"/>
      <c r="U42" s="3"/>
      <c r="V42" s="3"/>
      <c r="W42" s="38">
        <f t="shared" si="3"/>
        <v>0</v>
      </c>
      <c r="X42" s="36"/>
      <c r="Y42" s="30"/>
      <c r="Z42" s="17"/>
      <c r="AA42" s="18"/>
      <c r="AB42" s="3"/>
      <c r="AC42" s="3"/>
      <c r="AD42" s="3"/>
      <c r="AE42" s="3"/>
      <c r="AF42" s="38">
        <f t="shared" si="4"/>
        <v>0</v>
      </c>
      <c r="AG42" s="36"/>
      <c r="AH42" s="30"/>
      <c r="AI42" s="17"/>
      <c r="AJ42" s="18"/>
      <c r="AK42" s="3"/>
      <c r="AL42" s="3"/>
      <c r="AM42" s="3"/>
      <c r="AN42" s="3"/>
      <c r="AO42" s="45"/>
      <c r="AP42" s="25"/>
      <c r="AQ42" s="7">
        <v>3</v>
      </c>
      <c r="AR42" s="3"/>
      <c r="AS42" s="3"/>
      <c r="AT42" s="3"/>
      <c r="AU42" s="3"/>
      <c r="AV42" s="3"/>
    </row>
    <row r="43" spans="1:48">
      <c r="A43" s="4">
        <v>41</v>
      </c>
      <c r="B43" s="5" t="s">
        <v>149</v>
      </c>
      <c r="C43" s="6" t="s">
        <v>71</v>
      </c>
      <c r="D43" s="13" t="s">
        <v>150</v>
      </c>
      <c r="E43" s="21"/>
      <c r="F43" s="50"/>
      <c r="G43" s="28" t="s">
        <v>344</v>
      </c>
      <c r="H43" s="4"/>
      <c r="I43" s="14" t="s">
        <v>8</v>
      </c>
      <c r="J43" s="6">
        <v>4.2300000000000004</v>
      </c>
      <c r="K43" s="6">
        <v>5.03</v>
      </c>
      <c r="L43" s="6">
        <v>2</v>
      </c>
      <c r="M43" s="6">
        <v>8.4600000000000009</v>
      </c>
      <c r="N43" s="29">
        <f t="shared" si="6"/>
        <v>10.06</v>
      </c>
      <c r="O43" s="36"/>
      <c r="P43" s="30"/>
      <c r="Q43" s="17"/>
      <c r="R43" s="18"/>
      <c r="S43" s="3"/>
      <c r="T43" s="3"/>
      <c r="U43" s="3"/>
      <c r="V43" s="3"/>
      <c r="W43" s="38">
        <f t="shared" si="3"/>
        <v>0</v>
      </c>
      <c r="X43" s="36"/>
      <c r="Y43" s="30"/>
      <c r="Z43" s="17"/>
      <c r="AA43" s="18"/>
      <c r="AB43" s="3"/>
      <c r="AC43" s="3"/>
      <c r="AD43" s="3"/>
      <c r="AE43" s="3"/>
      <c r="AF43" s="38">
        <f t="shared" si="4"/>
        <v>0</v>
      </c>
      <c r="AG43" s="36"/>
      <c r="AH43" s="30"/>
      <c r="AI43" s="17"/>
      <c r="AJ43" s="18"/>
      <c r="AK43" s="3"/>
      <c r="AL43" s="3"/>
      <c r="AM43" s="3"/>
      <c r="AN43" s="3"/>
      <c r="AO43" s="45"/>
      <c r="AP43" s="25"/>
      <c r="AQ43" s="7"/>
      <c r="AR43" s="3"/>
      <c r="AS43" s="3"/>
      <c r="AT43" s="3"/>
      <c r="AU43" s="3"/>
      <c r="AV43" s="3"/>
    </row>
    <row r="44" spans="1:48">
      <c r="A44" s="4">
        <v>42</v>
      </c>
      <c r="B44" s="5" t="s">
        <v>151</v>
      </c>
      <c r="C44" s="6" t="s">
        <v>152</v>
      </c>
      <c r="D44" s="13" t="s">
        <v>153</v>
      </c>
      <c r="E44" s="21"/>
      <c r="F44" s="50"/>
      <c r="G44" s="28" t="s">
        <v>344</v>
      </c>
      <c r="H44" s="4"/>
      <c r="I44" s="14" t="s">
        <v>8</v>
      </c>
      <c r="J44" s="6">
        <v>0.6</v>
      </c>
      <c r="K44" s="6">
        <v>0.71</v>
      </c>
      <c r="L44" s="6">
        <v>40</v>
      </c>
      <c r="M44" s="6">
        <v>24</v>
      </c>
      <c r="N44" s="29">
        <f t="shared" si="6"/>
        <v>28.4</v>
      </c>
      <c r="O44" s="36"/>
      <c r="P44" s="30"/>
      <c r="Q44" s="17"/>
      <c r="R44" s="18"/>
      <c r="S44" s="3"/>
      <c r="T44" s="3"/>
      <c r="U44" s="3"/>
      <c r="V44" s="3"/>
      <c r="W44" s="38">
        <f t="shared" si="3"/>
        <v>0</v>
      </c>
      <c r="X44" s="36"/>
      <c r="Y44" s="30"/>
      <c r="Z44" s="17"/>
      <c r="AA44" s="18"/>
      <c r="AB44" s="3"/>
      <c r="AC44" s="3"/>
      <c r="AD44" s="3"/>
      <c r="AE44" s="3"/>
      <c r="AF44" s="38">
        <f t="shared" si="4"/>
        <v>0</v>
      </c>
      <c r="AG44" s="36"/>
      <c r="AH44" s="30"/>
      <c r="AI44" s="17"/>
      <c r="AJ44" s="18"/>
      <c r="AK44" s="3"/>
      <c r="AL44" s="3"/>
      <c r="AM44" s="3"/>
      <c r="AN44" s="3"/>
      <c r="AO44" s="45"/>
      <c r="AP44" s="25"/>
      <c r="AQ44" s="7"/>
      <c r="AR44" s="3"/>
      <c r="AS44" s="3"/>
      <c r="AT44" s="3"/>
      <c r="AU44" s="3"/>
      <c r="AV44" s="3"/>
    </row>
    <row r="45" spans="1:48">
      <c r="A45" s="4">
        <v>43</v>
      </c>
      <c r="B45" s="5" t="s">
        <v>141</v>
      </c>
      <c r="C45" s="6" t="s">
        <v>154</v>
      </c>
      <c r="D45" s="13" t="s">
        <v>155</v>
      </c>
      <c r="E45" s="21"/>
      <c r="F45" s="50"/>
      <c r="G45" s="28" t="s">
        <v>344</v>
      </c>
      <c r="H45" s="4"/>
      <c r="I45" s="14" t="s">
        <v>8</v>
      </c>
      <c r="J45" s="6">
        <v>0.67</v>
      </c>
      <c r="K45" s="6">
        <v>0.8</v>
      </c>
      <c r="L45" s="6">
        <v>20</v>
      </c>
      <c r="M45" s="6">
        <v>13.4</v>
      </c>
      <c r="N45" s="29">
        <f t="shared" si="6"/>
        <v>16</v>
      </c>
      <c r="O45" s="36"/>
      <c r="P45" s="30"/>
      <c r="Q45" s="17"/>
      <c r="R45" s="18"/>
      <c r="S45" s="3"/>
      <c r="T45" s="3"/>
      <c r="U45" s="3"/>
      <c r="V45" s="3"/>
      <c r="W45" s="38">
        <f t="shared" si="3"/>
        <v>0</v>
      </c>
      <c r="X45" s="36"/>
      <c r="Y45" s="30"/>
      <c r="Z45" s="17"/>
      <c r="AA45" s="18"/>
      <c r="AB45" s="3"/>
      <c r="AC45" s="3"/>
      <c r="AD45" s="3"/>
      <c r="AE45" s="3"/>
      <c r="AF45" s="38">
        <f t="shared" si="4"/>
        <v>0</v>
      </c>
      <c r="AG45" s="36"/>
      <c r="AH45" s="30"/>
      <c r="AI45" s="17"/>
      <c r="AJ45" s="18"/>
      <c r="AK45" s="3"/>
      <c r="AL45" s="3"/>
      <c r="AM45" s="3"/>
      <c r="AN45" s="3"/>
      <c r="AO45" s="45"/>
      <c r="AP45" s="25"/>
      <c r="AQ45" s="7"/>
      <c r="AR45" s="3"/>
      <c r="AS45" s="3"/>
      <c r="AT45" s="3"/>
      <c r="AU45" s="3"/>
      <c r="AV45" s="3"/>
    </row>
    <row r="46" spans="1:48">
      <c r="A46" s="4">
        <v>44</v>
      </c>
      <c r="B46" s="5" t="s">
        <v>156</v>
      </c>
      <c r="C46" s="6" t="s">
        <v>157</v>
      </c>
      <c r="D46" s="13" t="s">
        <v>158</v>
      </c>
      <c r="E46" s="21"/>
      <c r="F46" s="50"/>
      <c r="G46" s="28" t="s">
        <v>344</v>
      </c>
      <c r="H46" s="4"/>
      <c r="I46" s="14" t="s">
        <v>8</v>
      </c>
      <c r="J46" s="6">
        <v>1.65</v>
      </c>
      <c r="K46" s="6">
        <v>1.96</v>
      </c>
      <c r="L46" s="6">
        <v>10</v>
      </c>
      <c r="M46" s="6">
        <v>16.5</v>
      </c>
      <c r="N46" s="29">
        <f t="shared" si="6"/>
        <v>19.600000000000001</v>
      </c>
      <c r="O46" s="36"/>
      <c r="P46" s="30"/>
      <c r="Q46" s="17"/>
      <c r="R46" s="18"/>
      <c r="S46" s="3"/>
      <c r="T46" s="3"/>
      <c r="U46" s="3"/>
      <c r="V46" s="3"/>
      <c r="W46" s="38">
        <f t="shared" si="3"/>
        <v>0</v>
      </c>
      <c r="X46" s="36"/>
      <c r="Y46" s="30"/>
      <c r="Z46" s="17"/>
      <c r="AA46" s="18"/>
      <c r="AB46" s="3"/>
      <c r="AC46" s="3"/>
      <c r="AD46" s="3"/>
      <c r="AE46" s="3"/>
      <c r="AF46" s="38">
        <f t="shared" si="4"/>
        <v>0</v>
      </c>
      <c r="AG46" s="36"/>
      <c r="AH46" s="30"/>
      <c r="AI46" s="17"/>
      <c r="AJ46" s="18"/>
      <c r="AK46" s="3"/>
      <c r="AL46" s="3"/>
      <c r="AM46" s="3"/>
      <c r="AN46" s="3"/>
      <c r="AO46" s="45"/>
      <c r="AP46" s="25"/>
      <c r="AQ46" s="7"/>
      <c r="AR46" s="3"/>
      <c r="AS46" s="3"/>
      <c r="AT46" s="3"/>
      <c r="AU46" s="3"/>
      <c r="AV46" s="3"/>
    </row>
    <row r="47" spans="1:48">
      <c r="A47" s="4">
        <v>45</v>
      </c>
      <c r="B47" s="5" t="s">
        <v>159</v>
      </c>
      <c r="C47" s="6" t="s">
        <v>160</v>
      </c>
      <c r="D47" s="6" t="s">
        <v>161</v>
      </c>
      <c r="E47" s="21"/>
      <c r="F47" s="50"/>
      <c r="G47" s="28" t="s">
        <v>344</v>
      </c>
      <c r="H47" s="4"/>
      <c r="I47" s="14" t="s">
        <v>8</v>
      </c>
      <c r="J47" s="6">
        <v>0.33</v>
      </c>
      <c r="K47" s="6">
        <v>0.39</v>
      </c>
      <c r="L47" s="6">
        <v>10</v>
      </c>
      <c r="M47" s="6">
        <v>3.3000000000000003</v>
      </c>
      <c r="N47" s="29">
        <f t="shared" si="6"/>
        <v>3.9000000000000004</v>
      </c>
      <c r="O47" s="36"/>
      <c r="P47" s="30"/>
      <c r="Q47" s="17"/>
      <c r="R47" s="18"/>
      <c r="S47" s="3"/>
      <c r="T47" s="3"/>
      <c r="U47" s="3"/>
      <c r="V47" s="3"/>
      <c r="W47" s="38">
        <f t="shared" si="3"/>
        <v>0</v>
      </c>
      <c r="X47" s="36"/>
      <c r="Y47" s="30"/>
      <c r="Z47" s="17"/>
      <c r="AA47" s="18"/>
      <c r="AB47" s="3"/>
      <c r="AC47" s="3"/>
      <c r="AD47" s="3"/>
      <c r="AE47" s="3"/>
      <c r="AF47" s="38">
        <f t="shared" si="4"/>
        <v>0</v>
      </c>
      <c r="AG47" s="36"/>
      <c r="AH47" s="30"/>
      <c r="AI47" s="17"/>
      <c r="AJ47" s="18"/>
      <c r="AK47" s="3"/>
      <c r="AL47" s="3"/>
      <c r="AM47" s="3"/>
      <c r="AN47" s="3"/>
      <c r="AO47" s="45"/>
      <c r="AP47" s="25"/>
      <c r="AQ47" s="3"/>
      <c r="AR47" s="3"/>
      <c r="AS47" s="3"/>
      <c r="AT47" s="3"/>
      <c r="AU47" s="3"/>
      <c r="AV47" s="3"/>
    </row>
    <row r="48" spans="1:48">
      <c r="A48" s="4">
        <v>46</v>
      </c>
      <c r="B48" s="5" t="s">
        <v>162</v>
      </c>
      <c r="C48" s="6"/>
      <c r="D48" s="6" t="s">
        <v>163</v>
      </c>
      <c r="E48" s="21"/>
      <c r="F48" s="50"/>
      <c r="G48" s="28" t="s">
        <v>344</v>
      </c>
      <c r="H48" s="4"/>
      <c r="I48" s="16" t="s">
        <v>8</v>
      </c>
      <c r="J48" s="6">
        <v>5.04</v>
      </c>
      <c r="K48" s="6">
        <v>6</v>
      </c>
      <c r="L48" s="6">
        <v>10</v>
      </c>
      <c r="M48" s="6">
        <v>50.4</v>
      </c>
      <c r="N48" s="29">
        <f t="shared" si="6"/>
        <v>60</v>
      </c>
      <c r="O48" s="36"/>
      <c r="P48" s="30"/>
      <c r="Q48" s="17"/>
      <c r="R48" s="20"/>
      <c r="S48" s="3"/>
      <c r="T48" s="3"/>
      <c r="U48" s="3"/>
      <c r="V48" s="3"/>
      <c r="W48" s="38">
        <f t="shared" si="3"/>
        <v>0</v>
      </c>
      <c r="X48" s="36"/>
      <c r="Y48" s="30"/>
      <c r="Z48" s="17"/>
      <c r="AA48" s="20"/>
      <c r="AB48" s="3"/>
      <c r="AC48" s="3"/>
      <c r="AD48" s="3"/>
      <c r="AE48" s="3"/>
      <c r="AF48" s="38">
        <f t="shared" si="4"/>
        <v>0</v>
      </c>
      <c r="AG48" s="36"/>
      <c r="AH48" s="30"/>
      <c r="AI48" s="17"/>
      <c r="AJ48" s="20"/>
      <c r="AK48" s="3"/>
      <c r="AL48" s="3"/>
      <c r="AM48" s="3"/>
      <c r="AN48" s="3"/>
      <c r="AO48" s="45"/>
      <c r="AP48" s="25"/>
      <c r="AQ48" s="3"/>
      <c r="AR48" s="3"/>
      <c r="AS48" s="3"/>
      <c r="AT48" s="3"/>
      <c r="AU48" s="3"/>
      <c r="AV48" s="3"/>
    </row>
    <row r="49" spans="1:48">
      <c r="A49" s="4">
        <v>47</v>
      </c>
      <c r="B49" s="5" t="s">
        <v>151</v>
      </c>
      <c r="C49" s="6" t="s">
        <v>164</v>
      </c>
      <c r="D49" s="6" t="s">
        <v>165</v>
      </c>
      <c r="E49" s="21"/>
      <c r="F49" s="50"/>
      <c r="G49" s="28" t="s">
        <v>344</v>
      </c>
      <c r="H49" s="4"/>
      <c r="I49" s="16" t="s">
        <v>8</v>
      </c>
      <c r="J49" s="6">
        <v>0.6</v>
      </c>
      <c r="K49" s="6">
        <v>0.71</v>
      </c>
      <c r="L49" s="6">
        <v>20</v>
      </c>
      <c r="M49" s="6"/>
      <c r="N49" s="29">
        <f t="shared" si="6"/>
        <v>14.2</v>
      </c>
      <c r="O49" s="36"/>
      <c r="P49" s="30"/>
      <c r="Q49" s="17"/>
      <c r="R49" s="20"/>
      <c r="S49" s="3"/>
      <c r="T49" s="3"/>
      <c r="U49" s="3"/>
      <c r="V49" s="3"/>
      <c r="W49" s="38">
        <f t="shared" si="3"/>
        <v>0</v>
      </c>
      <c r="X49" s="36"/>
      <c r="Y49" s="30"/>
      <c r="Z49" s="17"/>
      <c r="AA49" s="20"/>
      <c r="AB49" s="3"/>
      <c r="AC49" s="3"/>
      <c r="AD49" s="3"/>
      <c r="AE49" s="3"/>
      <c r="AF49" s="38">
        <f t="shared" si="4"/>
        <v>0</v>
      </c>
      <c r="AG49" s="36"/>
      <c r="AH49" s="30"/>
      <c r="AI49" s="17"/>
      <c r="AJ49" s="20"/>
      <c r="AK49" s="3"/>
      <c r="AL49" s="3"/>
      <c r="AM49" s="3"/>
      <c r="AN49" s="3"/>
      <c r="AO49" s="45"/>
      <c r="AP49" s="25"/>
      <c r="AQ49" s="3"/>
      <c r="AR49" s="3"/>
      <c r="AS49" s="3"/>
      <c r="AT49" s="3"/>
      <c r="AU49" s="3"/>
      <c r="AV49" s="3"/>
    </row>
    <row r="50" spans="1:48">
      <c r="A50" s="4">
        <v>48</v>
      </c>
      <c r="B50" s="5" t="s">
        <v>166</v>
      </c>
      <c r="C50" s="6" t="s">
        <v>164</v>
      </c>
      <c r="D50" s="6" t="s">
        <v>167</v>
      </c>
      <c r="E50" s="21"/>
      <c r="F50" s="50"/>
      <c r="G50" s="28" t="s">
        <v>344</v>
      </c>
      <c r="H50" s="4"/>
      <c r="I50" s="16" t="s">
        <v>8</v>
      </c>
      <c r="J50" s="6">
        <v>0.68</v>
      </c>
      <c r="K50" s="6">
        <v>0.81</v>
      </c>
      <c r="L50" s="6">
        <v>20</v>
      </c>
      <c r="M50" s="6"/>
      <c r="N50" s="29">
        <f t="shared" si="6"/>
        <v>16.200000000000003</v>
      </c>
      <c r="O50" s="36"/>
      <c r="P50" s="30"/>
      <c r="Q50" s="17"/>
      <c r="R50" s="20"/>
      <c r="S50" s="3"/>
      <c r="T50" s="3"/>
      <c r="U50" s="3"/>
      <c r="V50" s="3"/>
      <c r="W50" s="38">
        <f t="shared" si="3"/>
        <v>0</v>
      </c>
      <c r="X50" s="36"/>
      <c r="Y50" s="30"/>
      <c r="Z50" s="17"/>
      <c r="AA50" s="20"/>
      <c r="AB50" s="3"/>
      <c r="AC50" s="3"/>
      <c r="AD50" s="3"/>
      <c r="AE50" s="3"/>
      <c r="AF50" s="38">
        <f t="shared" si="4"/>
        <v>0</v>
      </c>
      <c r="AG50" s="36"/>
      <c r="AH50" s="30"/>
      <c r="AI50" s="17"/>
      <c r="AJ50" s="20"/>
      <c r="AK50" s="3"/>
      <c r="AL50" s="3"/>
      <c r="AM50" s="3"/>
      <c r="AN50" s="3"/>
      <c r="AO50" s="45"/>
      <c r="AP50" s="25"/>
      <c r="AQ50" s="3"/>
      <c r="AR50" s="3"/>
      <c r="AS50" s="3"/>
      <c r="AT50" s="3"/>
      <c r="AU50" s="3"/>
      <c r="AV50" s="3"/>
    </row>
    <row r="51" spans="1:48">
      <c r="A51" s="4">
        <v>49</v>
      </c>
      <c r="B51" s="5" t="s">
        <v>168</v>
      </c>
      <c r="C51" s="6" t="s">
        <v>169</v>
      </c>
      <c r="D51" s="6" t="s">
        <v>170</v>
      </c>
      <c r="E51" s="21"/>
      <c r="F51" s="50"/>
      <c r="G51" s="28" t="s">
        <v>344</v>
      </c>
      <c r="H51" s="4"/>
      <c r="I51" s="16" t="s">
        <v>8</v>
      </c>
      <c r="J51" s="6">
        <v>0.68</v>
      </c>
      <c r="K51" s="6">
        <v>0.81</v>
      </c>
      <c r="L51" s="6">
        <v>20</v>
      </c>
      <c r="M51" s="6"/>
      <c r="N51" s="29">
        <f t="shared" si="6"/>
        <v>16.200000000000003</v>
      </c>
      <c r="O51" s="36"/>
      <c r="P51" s="30"/>
      <c r="Q51" s="17"/>
      <c r="R51" s="20"/>
      <c r="S51" s="3"/>
      <c r="T51" s="3"/>
      <c r="U51" s="3"/>
      <c r="V51" s="3"/>
      <c r="W51" s="38">
        <f t="shared" si="3"/>
        <v>0</v>
      </c>
      <c r="X51" s="36"/>
      <c r="Y51" s="30"/>
      <c r="Z51" s="17"/>
      <c r="AA51" s="20"/>
      <c r="AB51" s="3"/>
      <c r="AC51" s="3"/>
      <c r="AD51" s="3"/>
      <c r="AE51" s="3"/>
      <c r="AF51" s="38">
        <f t="shared" si="4"/>
        <v>0</v>
      </c>
      <c r="AG51" s="36"/>
      <c r="AH51" s="30"/>
      <c r="AI51" s="17"/>
      <c r="AJ51" s="20"/>
      <c r="AK51" s="3"/>
      <c r="AL51" s="3"/>
      <c r="AM51" s="3"/>
      <c r="AN51" s="3"/>
      <c r="AO51" s="45"/>
      <c r="AP51" s="25"/>
      <c r="AQ51" s="3"/>
      <c r="AR51" s="3"/>
      <c r="AS51" s="3"/>
      <c r="AT51" s="3"/>
      <c r="AU51" s="3"/>
      <c r="AV51" s="3"/>
    </row>
    <row r="52" spans="1:48">
      <c r="A52" s="4">
        <v>50</v>
      </c>
      <c r="B52" s="5" t="s">
        <v>32</v>
      </c>
      <c r="C52" s="6" t="s">
        <v>171</v>
      </c>
      <c r="D52" s="6" t="s">
        <v>172</v>
      </c>
      <c r="E52" s="21"/>
      <c r="F52" s="50"/>
      <c r="G52" s="28" t="s">
        <v>344</v>
      </c>
      <c r="H52" s="4"/>
      <c r="I52" s="16" t="s">
        <v>8</v>
      </c>
      <c r="J52" s="6">
        <v>0.38</v>
      </c>
      <c r="K52" s="6">
        <v>0.45</v>
      </c>
      <c r="L52" s="6">
        <v>20</v>
      </c>
      <c r="M52" s="6"/>
      <c r="N52" s="29">
        <f t="shared" si="6"/>
        <v>9</v>
      </c>
      <c r="O52" s="36"/>
      <c r="P52" s="30"/>
      <c r="Q52" s="17"/>
      <c r="R52" s="20"/>
      <c r="S52" s="3"/>
      <c r="T52" s="3"/>
      <c r="U52" s="3"/>
      <c r="V52" s="3"/>
      <c r="W52" s="38">
        <f t="shared" si="3"/>
        <v>0</v>
      </c>
      <c r="X52" s="36"/>
      <c r="Y52" s="30"/>
      <c r="Z52" s="17"/>
      <c r="AA52" s="20"/>
      <c r="AB52" s="3"/>
      <c r="AC52" s="3"/>
      <c r="AD52" s="3"/>
      <c r="AE52" s="3"/>
      <c r="AF52" s="38">
        <f t="shared" si="4"/>
        <v>0</v>
      </c>
      <c r="AG52" s="36"/>
      <c r="AH52" s="30"/>
      <c r="AI52" s="17"/>
      <c r="AJ52" s="20"/>
      <c r="AK52" s="3"/>
      <c r="AL52" s="3"/>
      <c r="AM52" s="3"/>
      <c r="AN52" s="3"/>
      <c r="AO52" s="45"/>
      <c r="AP52" s="25"/>
      <c r="AQ52" s="3"/>
      <c r="AR52" s="3"/>
      <c r="AS52" s="3"/>
      <c r="AT52" s="3"/>
      <c r="AU52" s="3"/>
      <c r="AV52" s="3"/>
    </row>
    <row r="53" spans="1:48">
      <c r="A53" s="4">
        <v>51</v>
      </c>
      <c r="B53" s="5" t="s">
        <v>173</v>
      </c>
      <c r="C53" s="6" t="s">
        <v>174</v>
      </c>
      <c r="D53" s="6" t="s">
        <v>175</v>
      </c>
      <c r="E53" s="21"/>
      <c r="F53" s="50"/>
      <c r="G53" s="28" t="s">
        <v>344</v>
      </c>
      <c r="H53" s="4"/>
      <c r="I53" s="16" t="s">
        <v>8</v>
      </c>
      <c r="J53" s="6">
        <v>0.28999999999999998</v>
      </c>
      <c r="K53" s="6">
        <v>0.35</v>
      </c>
      <c r="L53" s="6">
        <v>40</v>
      </c>
      <c r="M53" s="6"/>
      <c r="N53" s="29">
        <f t="shared" si="6"/>
        <v>14</v>
      </c>
      <c r="O53" s="36"/>
      <c r="P53" s="30"/>
      <c r="Q53" s="17"/>
      <c r="R53" s="20"/>
      <c r="S53" s="3"/>
      <c r="T53" s="3"/>
      <c r="U53" s="3"/>
      <c r="V53" s="3"/>
      <c r="W53" s="38">
        <f t="shared" si="3"/>
        <v>0</v>
      </c>
      <c r="X53" s="36"/>
      <c r="Y53" s="30"/>
      <c r="Z53" s="17"/>
      <c r="AA53" s="20"/>
      <c r="AB53" s="3"/>
      <c r="AC53" s="3"/>
      <c r="AD53" s="3"/>
      <c r="AE53" s="3"/>
      <c r="AF53" s="38">
        <f t="shared" si="4"/>
        <v>0</v>
      </c>
      <c r="AG53" s="36"/>
      <c r="AH53" s="30"/>
      <c r="AI53" s="17"/>
      <c r="AJ53" s="20"/>
      <c r="AK53" s="3"/>
      <c r="AL53" s="3"/>
      <c r="AM53" s="3"/>
      <c r="AN53" s="3"/>
      <c r="AO53" s="45"/>
      <c r="AP53" s="25"/>
      <c r="AQ53" s="3"/>
      <c r="AR53" s="3"/>
      <c r="AS53" s="3"/>
      <c r="AT53" s="3"/>
      <c r="AU53" s="3"/>
      <c r="AV53" s="3"/>
    </row>
    <row r="54" spans="1:48">
      <c r="A54" s="4">
        <v>52</v>
      </c>
      <c r="B54" s="5" t="s">
        <v>173</v>
      </c>
      <c r="C54" s="6" t="s">
        <v>176</v>
      </c>
      <c r="D54" s="13" t="s">
        <v>177</v>
      </c>
      <c r="E54" s="21"/>
      <c r="F54" s="50"/>
      <c r="G54" s="28" t="s">
        <v>344</v>
      </c>
      <c r="H54" s="4"/>
      <c r="I54" s="16" t="s">
        <v>8</v>
      </c>
      <c r="J54" s="6">
        <v>0.28999999999999998</v>
      </c>
      <c r="K54" s="6">
        <v>0.35</v>
      </c>
      <c r="L54" s="6">
        <v>40</v>
      </c>
      <c r="M54" s="6"/>
      <c r="N54" s="29">
        <f t="shared" si="6"/>
        <v>14</v>
      </c>
      <c r="O54" s="36"/>
      <c r="P54" s="30"/>
      <c r="Q54" s="17"/>
      <c r="R54" s="20"/>
      <c r="S54" s="3"/>
      <c r="T54" s="3"/>
      <c r="U54" s="3"/>
      <c r="V54" s="3"/>
      <c r="W54" s="38">
        <f t="shared" si="3"/>
        <v>0</v>
      </c>
      <c r="X54" s="36"/>
      <c r="Y54" s="30"/>
      <c r="Z54" s="17"/>
      <c r="AA54" s="20"/>
      <c r="AB54" s="3"/>
      <c r="AC54" s="3"/>
      <c r="AD54" s="3"/>
      <c r="AE54" s="3"/>
      <c r="AF54" s="38">
        <f t="shared" si="4"/>
        <v>0</v>
      </c>
      <c r="AG54" s="36"/>
      <c r="AH54" s="30"/>
      <c r="AI54" s="17"/>
      <c r="AJ54" s="20"/>
      <c r="AK54" s="3"/>
      <c r="AL54" s="3"/>
      <c r="AM54" s="3"/>
      <c r="AN54" s="3"/>
      <c r="AO54" s="45"/>
      <c r="AP54" s="25"/>
      <c r="AQ54" s="3"/>
      <c r="AR54" s="3"/>
      <c r="AS54" s="3"/>
      <c r="AT54" s="3"/>
      <c r="AU54" s="3"/>
      <c r="AV54" s="3"/>
    </row>
    <row r="55" spans="1:48">
      <c r="A55" s="4">
        <v>53</v>
      </c>
      <c r="B55" s="5" t="s">
        <v>173</v>
      </c>
      <c r="C55" s="6" t="s">
        <v>178</v>
      </c>
      <c r="D55" s="6" t="s">
        <v>179</v>
      </c>
      <c r="E55" s="21"/>
      <c r="F55" s="50"/>
      <c r="G55" s="28" t="s">
        <v>344</v>
      </c>
      <c r="H55" s="4"/>
      <c r="I55" s="16" t="s">
        <v>8</v>
      </c>
      <c r="J55" s="6">
        <v>0.15</v>
      </c>
      <c r="K55" s="6">
        <v>0.18</v>
      </c>
      <c r="L55" s="6">
        <v>40</v>
      </c>
      <c r="M55" s="6"/>
      <c r="N55" s="29">
        <f t="shared" si="6"/>
        <v>7.1999999999999993</v>
      </c>
      <c r="O55" s="36"/>
      <c r="P55" s="30"/>
      <c r="Q55" s="17"/>
      <c r="R55" s="20"/>
      <c r="S55" s="3"/>
      <c r="T55" s="3"/>
      <c r="U55" s="3"/>
      <c r="V55" s="3"/>
      <c r="W55" s="38">
        <f t="shared" si="3"/>
        <v>0</v>
      </c>
      <c r="X55" s="36"/>
      <c r="Y55" s="30"/>
      <c r="Z55" s="17"/>
      <c r="AA55" s="20"/>
      <c r="AB55" s="3"/>
      <c r="AC55" s="3"/>
      <c r="AD55" s="3"/>
      <c r="AE55" s="3"/>
      <c r="AF55" s="38">
        <f t="shared" si="4"/>
        <v>0</v>
      </c>
      <c r="AG55" s="36"/>
      <c r="AH55" s="30"/>
      <c r="AI55" s="17"/>
      <c r="AJ55" s="20"/>
      <c r="AK55" s="3"/>
      <c r="AL55" s="3"/>
      <c r="AM55" s="3"/>
      <c r="AN55" s="3"/>
      <c r="AO55" s="45"/>
      <c r="AP55" s="25"/>
      <c r="AQ55" s="3"/>
      <c r="AR55" s="3"/>
      <c r="AS55" s="3"/>
      <c r="AT55" s="3"/>
      <c r="AU55" s="3"/>
      <c r="AV55" s="3"/>
    </row>
    <row r="56" spans="1:48">
      <c r="A56" s="4">
        <v>54</v>
      </c>
      <c r="B56" s="5" t="s">
        <v>180</v>
      </c>
      <c r="C56" s="6" t="s">
        <v>181</v>
      </c>
      <c r="D56" s="6" t="s">
        <v>182</v>
      </c>
      <c r="E56" s="21"/>
      <c r="F56" s="50"/>
      <c r="G56" s="28" t="s">
        <v>344</v>
      </c>
      <c r="H56" s="4"/>
      <c r="I56" s="16" t="s">
        <v>8</v>
      </c>
      <c r="J56" s="6">
        <v>3.97</v>
      </c>
      <c r="K56" s="6">
        <v>4.72</v>
      </c>
      <c r="L56" s="6">
        <v>6</v>
      </c>
      <c r="M56" s="6"/>
      <c r="N56" s="29">
        <f t="shared" si="6"/>
        <v>28.32</v>
      </c>
      <c r="O56" s="36"/>
      <c r="P56" s="30"/>
      <c r="Q56" s="17"/>
      <c r="R56" s="20"/>
      <c r="S56" s="3"/>
      <c r="T56" s="3"/>
      <c r="U56" s="3"/>
      <c r="V56" s="3"/>
      <c r="W56" s="38">
        <f t="shared" si="3"/>
        <v>0</v>
      </c>
      <c r="X56" s="36"/>
      <c r="Y56" s="30"/>
      <c r="Z56" s="17"/>
      <c r="AA56" s="20"/>
      <c r="AB56" s="3"/>
      <c r="AC56" s="3"/>
      <c r="AD56" s="3"/>
      <c r="AE56" s="3"/>
      <c r="AF56" s="38">
        <f t="shared" si="4"/>
        <v>0</v>
      </c>
      <c r="AG56" s="36"/>
      <c r="AH56" s="30"/>
      <c r="AI56" s="17"/>
      <c r="AJ56" s="20"/>
      <c r="AK56" s="3"/>
      <c r="AL56" s="3"/>
      <c r="AM56" s="3"/>
      <c r="AN56" s="3"/>
      <c r="AO56" s="45"/>
      <c r="AP56" s="25"/>
      <c r="AQ56" s="3"/>
      <c r="AR56" s="3"/>
      <c r="AS56" s="3"/>
      <c r="AT56" s="3"/>
      <c r="AU56" s="3"/>
      <c r="AV56" s="3"/>
    </row>
    <row r="57" spans="1:48">
      <c r="A57" s="4">
        <v>55</v>
      </c>
      <c r="B57" s="5" t="s">
        <v>183</v>
      </c>
      <c r="C57" s="6"/>
      <c r="D57" s="6" t="s">
        <v>184</v>
      </c>
      <c r="E57" s="21"/>
      <c r="F57" s="50"/>
      <c r="G57" s="28" t="s">
        <v>344</v>
      </c>
      <c r="H57" s="4"/>
      <c r="I57" s="16" t="s">
        <v>8</v>
      </c>
      <c r="J57" s="6">
        <v>11.76</v>
      </c>
      <c r="K57" s="6">
        <v>13.99</v>
      </c>
      <c r="L57" s="6">
        <v>1</v>
      </c>
      <c r="M57" s="6"/>
      <c r="N57" s="29">
        <f t="shared" si="6"/>
        <v>13.99</v>
      </c>
      <c r="O57" s="36"/>
      <c r="P57" s="30"/>
      <c r="Q57" s="17"/>
      <c r="R57" s="20"/>
      <c r="S57" s="3"/>
      <c r="T57" s="3"/>
      <c r="U57" s="3"/>
      <c r="V57" s="3"/>
      <c r="W57" s="38">
        <f t="shared" si="3"/>
        <v>0</v>
      </c>
      <c r="X57" s="36"/>
      <c r="Y57" s="30"/>
      <c r="Z57" s="17"/>
      <c r="AA57" s="20"/>
      <c r="AB57" s="3"/>
      <c r="AC57" s="3"/>
      <c r="AD57" s="3"/>
      <c r="AE57" s="3"/>
      <c r="AF57" s="38">
        <f t="shared" si="4"/>
        <v>0</v>
      </c>
      <c r="AG57" s="36"/>
      <c r="AH57" s="30"/>
      <c r="AI57" s="17"/>
      <c r="AJ57" s="20"/>
      <c r="AK57" s="3"/>
      <c r="AL57" s="3"/>
      <c r="AM57" s="3"/>
      <c r="AN57" s="3"/>
      <c r="AO57" s="45"/>
      <c r="AP57" s="25"/>
      <c r="AQ57" s="3"/>
      <c r="AR57" s="3"/>
      <c r="AS57" s="3"/>
      <c r="AT57" s="3"/>
      <c r="AU57" s="3"/>
      <c r="AV57" s="3"/>
    </row>
    <row r="58" spans="1:48">
      <c r="A58" s="4">
        <v>56</v>
      </c>
      <c r="B58" s="11" t="s">
        <v>185</v>
      </c>
      <c r="C58" s="6" t="s">
        <v>186</v>
      </c>
      <c r="D58" s="6" t="s">
        <v>187</v>
      </c>
      <c r="E58" s="21"/>
      <c r="F58" s="24"/>
      <c r="G58" s="28" t="s">
        <v>344</v>
      </c>
      <c r="H58" s="4"/>
      <c r="I58" s="14" t="s">
        <v>8</v>
      </c>
      <c r="J58" s="6">
        <v>63.6</v>
      </c>
      <c r="K58" s="6">
        <v>75.680000000000007</v>
      </c>
      <c r="L58" s="6">
        <v>4</v>
      </c>
      <c r="M58" s="6">
        <v>254.4</v>
      </c>
      <c r="N58" s="29">
        <f t="shared" si="6"/>
        <v>302.72000000000003</v>
      </c>
      <c r="O58" s="36"/>
      <c r="P58" s="30" t="s">
        <v>93</v>
      </c>
      <c r="Q58" s="17" t="s">
        <v>94</v>
      </c>
      <c r="R58" s="18" t="s">
        <v>8</v>
      </c>
      <c r="S58" s="3"/>
      <c r="T58" s="3">
        <v>89.55</v>
      </c>
      <c r="U58" s="3">
        <v>4</v>
      </c>
      <c r="V58" s="3"/>
      <c r="W58" s="38">
        <f t="shared" si="3"/>
        <v>358.2</v>
      </c>
      <c r="X58" s="36"/>
      <c r="Y58" s="30" t="s">
        <v>95</v>
      </c>
      <c r="Z58" s="17" t="s">
        <v>94</v>
      </c>
      <c r="AA58" s="18" t="s">
        <v>8</v>
      </c>
      <c r="AB58" s="3"/>
      <c r="AC58" s="3">
        <v>89.55</v>
      </c>
      <c r="AD58" s="3">
        <v>4</v>
      </c>
      <c r="AE58" s="3"/>
      <c r="AF58" s="38">
        <f t="shared" si="4"/>
        <v>358.2</v>
      </c>
      <c r="AG58" s="36"/>
      <c r="AH58" s="30"/>
      <c r="AI58" s="17"/>
      <c r="AJ58" s="18"/>
      <c r="AK58" s="3"/>
      <c r="AL58" s="3"/>
      <c r="AM58" s="3"/>
      <c r="AN58" s="3"/>
      <c r="AO58" s="45"/>
      <c r="AP58" s="25"/>
      <c r="AQ58" s="7">
        <v>4</v>
      </c>
      <c r="AR58" s="3"/>
      <c r="AS58" s="3"/>
      <c r="AT58" s="3"/>
      <c r="AU58" s="3"/>
      <c r="AV58" s="3"/>
    </row>
    <row r="59" spans="1:48">
      <c r="A59" s="4">
        <v>57</v>
      </c>
      <c r="B59" s="11" t="s">
        <v>188</v>
      </c>
      <c r="C59" s="6" t="s">
        <v>189</v>
      </c>
      <c r="D59" s="6" t="s">
        <v>190</v>
      </c>
      <c r="E59" s="21"/>
      <c r="F59" s="24"/>
      <c r="G59" s="28" t="s">
        <v>93</v>
      </c>
      <c r="H59" s="4"/>
      <c r="I59" s="14" t="s">
        <v>8</v>
      </c>
      <c r="J59" s="6"/>
      <c r="K59" s="6">
        <v>40.98</v>
      </c>
      <c r="L59" s="6">
        <v>1</v>
      </c>
      <c r="M59" s="6">
        <v>0</v>
      </c>
      <c r="N59" s="29">
        <f t="shared" si="6"/>
        <v>40.98</v>
      </c>
      <c r="O59" s="36"/>
      <c r="P59" s="30" t="s">
        <v>191</v>
      </c>
      <c r="Q59" s="17" t="s">
        <v>94</v>
      </c>
      <c r="R59" s="18" t="s">
        <v>8</v>
      </c>
      <c r="S59" s="3"/>
      <c r="T59" s="3">
        <v>43.54</v>
      </c>
      <c r="U59" s="3">
        <v>1</v>
      </c>
      <c r="V59" s="3"/>
      <c r="W59" s="38">
        <f t="shared" si="3"/>
        <v>43.54</v>
      </c>
      <c r="X59" s="36"/>
      <c r="Y59" s="30" t="s">
        <v>95</v>
      </c>
      <c r="Z59" s="17" t="s">
        <v>94</v>
      </c>
      <c r="AA59" s="18" t="s">
        <v>8</v>
      </c>
      <c r="AB59" s="3"/>
      <c r="AC59" s="3">
        <v>40.98</v>
      </c>
      <c r="AD59" s="3">
        <v>1</v>
      </c>
      <c r="AE59" s="3"/>
      <c r="AF59" s="38">
        <f t="shared" si="4"/>
        <v>40.98</v>
      </c>
      <c r="AG59" s="36"/>
      <c r="AH59" s="30"/>
      <c r="AI59" s="17"/>
      <c r="AJ59" s="18"/>
      <c r="AK59" s="3"/>
      <c r="AL59" s="3"/>
      <c r="AM59" s="3"/>
      <c r="AN59" s="3"/>
      <c r="AO59" s="45"/>
      <c r="AP59" s="25"/>
      <c r="AQ59" s="7"/>
      <c r="AR59" s="3"/>
      <c r="AS59" s="3"/>
      <c r="AT59" s="3"/>
      <c r="AU59" s="3"/>
      <c r="AV59" s="3"/>
    </row>
    <row r="60" spans="1:48">
      <c r="A60" s="4">
        <v>58</v>
      </c>
      <c r="B60" s="11" t="s">
        <v>197</v>
      </c>
      <c r="C60" s="6" t="s">
        <v>198</v>
      </c>
      <c r="D60" s="6" t="s">
        <v>199</v>
      </c>
      <c r="E60" s="21"/>
      <c r="F60" s="24"/>
      <c r="G60" s="28" t="s">
        <v>93</v>
      </c>
      <c r="H60" s="4"/>
      <c r="I60" s="14" t="s">
        <v>8</v>
      </c>
      <c r="J60" s="6"/>
      <c r="K60" s="6">
        <v>9.57</v>
      </c>
      <c r="L60" s="6">
        <v>5</v>
      </c>
      <c r="M60" s="6">
        <v>0</v>
      </c>
      <c r="N60" s="29">
        <f t="shared" si="6"/>
        <v>47.85</v>
      </c>
      <c r="O60" s="36"/>
      <c r="P60" s="30" t="s">
        <v>95</v>
      </c>
      <c r="Q60" s="17" t="s">
        <v>94</v>
      </c>
      <c r="R60" s="18" t="s">
        <v>8</v>
      </c>
      <c r="S60" s="3"/>
      <c r="T60" s="3">
        <v>9.57</v>
      </c>
      <c r="U60" s="3">
        <v>5</v>
      </c>
      <c r="V60" s="3"/>
      <c r="W60" s="38">
        <f t="shared" si="3"/>
        <v>47.85</v>
      </c>
      <c r="X60" s="36"/>
      <c r="Y60" s="30" t="s">
        <v>195</v>
      </c>
      <c r="Z60" s="17" t="s">
        <v>94</v>
      </c>
      <c r="AA60" s="22" t="s">
        <v>8</v>
      </c>
      <c r="AB60" s="3"/>
      <c r="AC60" s="3">
        <v>10.61</v>
      </c>
      <c r="AD60" s="3">
        <v>5</v>
      </c>
      <c r="AE60" s="3"/>
      <c r="AF60" s="38">
        <f t="shared" si="4"/>
        <v>53.05</v>
      </c>
      <c r="AG60" s="36"/>
      <c r="AH60" s="30"/>
      <c r="AI60" s="17"/>
      <c r="AJ60" s="18"/>
      <c r="AK60" s="3"/>
      <c r="AL60" s="3"/>
      <c r="AM60" s="3"/>
      <c r="AN60" s="3"/>
      <c r="AO60" s="45"/>
      <c r="AP60" s="25"/>
      <c r="AQ60" s="7"/>
      <c r="AR60" s="3"/>
      <c r="AS60" s="3"/>
      <c r="AT60" s="3"/>
      <c r="AU60" s="3"/>
      <c r="AV60" s="3"/>
    </row>
    <row r="61" spans="1:48">
      <c r="A61" s="4">
        <v>59</v>
      </c>
      <c r="B61" s="11" t="s">
        <v>204</v>
      </c>
      <c r="C61" s="6"/>
      <c r="D61" s="6" t="s">
        <v>205</v>
      </c>
      <c r="E61" s="21"/>
      <c r="F61" s="24"/>
      <c r="G61" s="28" t="s">
        <v>93</v>
      </c>
      <c r="H61" s="4"/>
      <c r="I61" s="14" t="s">
        <v>8</v>
      </c>
      <c r="J61" s="6"/>
      <c r="K61" s="6">
        <v>2.42</v>
      </c>
      <c r="L61" s="6">
        <v>2</v>
      </c>
      <c r="M61" s="6">
        <v>0</v>
      </c>
      <c r="N61" s="29">
        <f t="shared" si="6"/>
        <v>4.84</v>
      </c>
      <c r="O61" s="36"/>
      <c r="P61" s="30" t="s">
        <v>345</v>
      </c>
      <c r="Q61" s="17" t="s">
        <v>94</v>
      </c>
      <c r="R61" s="22" t="s">
        <v>8</v>
      </c>
      <c r="S61" s="3"/>
      <c r="T61" s="3">
        <v>2.42</v>
      </c>
      <c r="U61" s="3">
        <v>2</v>
      </c>
      <c r="V61" s="3"/>
      <c r="W61" s="38">
        <f t="shared" si="3"/>
        <v>4.84</v>
      </c>
      <c r="X61" s="36"/>
      <c r="Y61" s="30" t="s">
        <v>346</v>
      </c>
      <c r="Z61" s="17" t="s">
        <v>94</v>
      </c>
      <c r="AA61" s="22" t="s">
        <v>8</v>
      </c>
      <c r="AB61" s="3"/>
      <c r="AC61" s="3">
        <v>2.42</v>
      </c>
      <c r="AD61" s="3">
        <v>2</v>
      </c>
      <c r="AE61" s="3"/>
      <c r="AF61" s="38">
        <f t="shared" si="4"/>
        <v>4.84</v>
      </c>
      <c r="AG61" s="36"/>
      <c r="AH61" s="30"/>
      <c r="AI61" s="17"/>
      <c r="AJ61" s="18"/>
      <c r="AK61" s="3"/>
      <c r="AL61" s="3"/>
      <c r="AM61" s="3"/>
      <c r="AN61" s="3"/>
      <c r="AO61" s="45"/>
      <c r="AP61" s="25"/>
      <c r="AQ61" s="3"/>
      <c r="AR61" s="3"/>
      <c r="AS61" s="3"/>
      <c r="AT61" s="3"/>
      <c r="AU61" s="3"/>
      <c r="AV61" s="3"/>
    </row>
    <row r="62" spans="1:48">
      <c r="A62" s="4">
        <v>60</v>
      </c>
      <c r="B62" s="11" t="s">
        <v>212</v>
      </c>
      <c r="C62" s="6" t="s">
        <v>213</v>
      </c>
      <c r="D62" s="6" t="s">
        <v>214</v>
      </c>
      <c r="E62" s="21"/>
      <c r="F62" s="24"/>
      <c r="G62" s="28" t="s">
        <v>93</v>
      </c>
      <c r="H62" s="4"/>
      <c r="I62" s="14" t="s">
        <v>8</v>
      </c>
      <c r="J62" s="6"/>
      <c r="K62" s="6">
        <v>1.33</v>
      </c>
      <c r="L62" s="6">
        <v>20</v>
      </c>
      <c r="M62" s="6">
        <v>0</v>
      </c>
      <c r="N62" s="29">
        <f t="shared" si="6"/>
        <v>26.6</v>
      </c>
      <c r="O62" s="36"/>
      <c r="P62" s="30" t="s">
        <v>211</v>
      </c>
      <c r="Q62" s="17" t="s">
        <v>94</v>
      </c>
      <c r="R62" s="18" t="s">
        <v>8</v>
      </c>
      <c r="S62" s="19"/>
      <c r="T62" s="19">
        <v>1.79</v>
      </c>
      <c r="U62" s="3">
        <v>20</v>
      </c>
      <c r="V62" s="3"/>
      <c r="W62" s="38">
        <f t="shared" si="3"/>
        <v>35.799999999999997</v>
      </c>
      <c r="X62" s="36"/>
      <c r="Y62" s="30" t="s">
        <v>95</v>
      </c>
      <c r="Z62" s="17" t="s">
        <v>94</v>
      </c>
      <c r="AA62" s="18" t="s">
        <v>8</v>
      </c>
      <c r="AB62" s="3"/>
      <c r="AC62" s="3">
        <v>66.64</v>
      </c>
      <c r="AD62" s="3">
        <v>1</v>
      </c>
      <c r="AE62" s="3"/>
      <c r="AF62" s="38">
        <f t="shared" si="4"/>
        <v>66.64</v>
      </c>
      <c r="AG62" s="36"/>
      <c r="AH62" s="30"/>
      <c r="AI62" s="17"/>
      <c r="AJ62" s="18"/>
      <c r="AK62" s="3"/>
      <c r="AL62" s="3"/>
      <c r="AM62" s="3"/>
      <c r="AN62" s="3"/>
      <c r="AO62" s="45"/>
      <c r="AP62" s="25"/>
      <c r="AQ62" s="3"/>
      <c r="AR62" s="3"/>
      <c r="AS62" s="3"/>
      <c r="AT62" s="3"/>
      <c r="AU62" s="3"/>
      <c r="AV62" s="3"/>
    </row>
    <row r="63" spans="1:48">
      <c r="A63" s="4">
        <v>61</v>
      </c>
      <c r="B63" s="11" t="s">
        <v>218</v>
      </c>
      <c r="C63" s="6"/>
      <c r="D63" s="6" t="s">
        <v>219</v>
      </c>
      <c r="E63" s="21"/>
      <c r="F63" s="24"/>
      <c r="G63" s="28" t="s">
        <v>93</v>
      </c>
      <c r="H63" s="4"/>
      <c r="I63" s="14" t="s">
        <v>8</v>
      </c>
      <c r="J63" s="6"/>
      <c r="K63" s="6">
        <v>1.05</v>
      </c>
      <c r="L63" s="6">
        <v>6</v>
      </c>
      <c r="M63" s="6">
        <v>0</v>
      </c>
      <c r="N63" s="29">
        <f t="shared" si="6"/>
        <v>6.3000000000000007</v>
      </c>
      <c r="O63" s="36"/>
      <c r="P63" s="30" t="s">
        <v>211</v>
      </c>
      <c r="Q63" s="17" t="s">
        <v>94</v>
      </c>
      <c r="R63" s="22" t="s">
        <v>8</v>
      </c>
      <c r="S63" s="3"/>
      <c r="T63" s="3">
        <v>1.05</v>
      </c>
      <c r="U63" s="3">
        <v>6</v>
      </c>
      <c r="V63" s="3"/>
      <c r="W63" s="38">
        <f t="shared" si="3"/>
        <v>6.3000000000000007</v>
      </c>
      <c r="X63" s="36"/>
      <c r="Y63" s="30" t="s">
        <v>346</v>
      </c>
      <c r="Z63" s="17" t="s">
        <v>94</v>
      </c>
      <c r="AA63" s="22" t="s">
        <v>8</v>
      </c>
      <c r="AB63" s="3"/>
      <c r="AC63" s="3">
        <v>1.05</v>
      </c>
      <c r="AD63" s="3">
        <v>6</v>
      </c>
      <c r="AE63" s="3"/>
      <c r="AF63" s="38">
        <f t="shared" si="4"/>
        <v>6.3000000000000007</v>
      </c>
      <c r="AG63" s="36"/>
      <c r="AH63" s="30"/>
      <c r="AI63" s="17"/>
      <c r="AJ63" s="18"/>
      <c r="AK63" s="3"/>
      <c r="AL63" s="3"/>
      <c r="AM63" s="3"/>
      <c r="AN63" s="3"/>
      <c r="AO63" s="45"/>
      <c r="AP63" s="25"/>
      <c r="AQ63" s="3"/>
      <c r="AR63" s="3"/>
      <c r="AS63" s="3"/>
      <c r="AT63" s="3"/>
      <c r="AU63" s="3"/>
      <c r="AV63" s="3"/>
    </row>
    <row r="64" spans="1:48">
      <c r="A64" s="4">
        <v>62</v>
      </c>
      <c r="B64" s="11" t="s">
        <v>220</v>
      </c>
      <c r="C64" s="6"/>
      <c r="D64" s="6" t="s">
        <v>221</v>
      </c>
      <c r="E64" s="21"/>
      <c r="F64" s="24"/>
      <c r="G64" s="28" t="s">
        <v>93</v>
      </c>
      <c r="H64" s="4"/>
      <c r="I64" s="14" t="s">
        <v>8</v>
      </c>
      <c r="J64" s="6"/>
      <c r="K64" s="6">
        <v>1.05</v>
      </c>
      <c r="L64" s="6">
        <v>6</v>
      </c>
      <c r="M64" s="6">
        <v>0</v>
      </c>
      <c r="N64" s="29">
        <f t="shared" si="6"/>
        <v>6.3000000000000007</v>
      </c>
      <c r="O64" s="36"/>
      <c r="P64" s="30" t="s">
        <v>345</v>
      </c>
      <c r="Q64" s="17" t="s">
        <v>94</v>
      </c>
      <c r="R64" s="22" t="s">
        <v>8</v>
      </c>
      <c r="S64" s="3"/>
      <c r="T64" s="3">
        <v>1.05</v>
      </c>
      <c r="U64" s="3">
        <v>6</v>
      </c>
      <c r="V64" s="3"/>
      <c r="W64" s="38">
        <f t="shared" si="3"/>
        <v>6.3000000000000007</v>
      </c>
      <c r="X64" s="36"/>
      <c r="Y64" s="30" t="s">
        <v>346</v>
      </c>
      <c r="Z64" s="17" t="s">
        <v>94</v>
      </c>
      <c r="AA64" s="22" t="s">
        <v>8</v>
      </c>
      <c r="AB64" s="3"/>
      <c r="AC64" s="3">
        <v>1.05</v>
      </c>
      <c r="AD64" s="3">
        <v>6</v>
      </c>
      <c r="AE64" s="3"/>
      <c r="AF64" s="38">
        <f t="shared" si="4"/>
        <v>6.3000000000000007</v>
      </c>
      <c r="AG64" s="36"/>
      <c r="AH64" s="30"/>
      <c r="AI64" s="17"/>
      <c r="AJ64" s="18"/>
      <c r="AK64" s="3"/>
      <c r="AL64" s="3"/>
      <c r="AM64" s="3"/>
      <c r="AN64" s="3"/>
      <c r="AO64" s="45"/>
      <c r="AP64" s="25"/>
      <c r="AQ64" s="3"/>
      <c r="AR64" s="3"/>
      <c r="AS64" s="3"/>
      <c r="AT64" s="3"/>
      <c r="AU64" s="3"/>
      <c r="AV64" s="3"/>
    </row>
    <row r="65" spans="1:48">
      <c r="A65" s="4">
        <v>63</v>
      </c>
      <c r="B65" s="11" t="s">
        <v>222</v>
      </c>
      <c r="C65" s="6"/>
      <c r="D65" s="6" t="s">
        <v>223</v>
      </c>
      <c r="E65" s="21"/>
      <c r="F65" s="24"/>
      <c r="G65" s="28" t="s">
        <v>93</v>
      </c>
      <c r="H65" s="4"/>
      <c r="I65" s="14" t="s">
        <v>8</v>
      </c>
      <c r="J65" s="6"/>
      <c r="K65" s="6">
        <v>10.14</v>
      </c>
      <c r="L65" s="6">
        <v>1</v>
      </c>
      <c r="M65" s="6">
        <v>0</v>
      </c>
      <c r="N65" s="29">
        <f t="shared" si="6"/>
        <v>10.14</v>
      </c>
      <c r="O65" s="36"/>
      <c r="P65" s="30" t="s">
        <v>95</v>
      </c>
      <c r="Q65" s="17" t="s">
        <v>94</v>
      </c>
      <c r="R65" s="22" t="s">
        <v>8</v>
      </c>
      <c r="S65" s="3"/>
      <c r="T65" s="3">
        <v>10.65</v>
      </c>
      <c r="U65" s="3">
        <v>1</v>
      </c>
      <c r="V65" s="3"/>
      <c r="W65" s="38">
        <f t="shared" si="3"/>
        <v>10.65</v>
      </c>
      <c r="X65" s="36"/>
      <c r="Y65" s="30" t="s">
        <v>347</v>
      </c>
      <c r="Z65" s="17" t="s">
        <v>94</v>
      </c>
      <c r="AA65" s="22" t="s">
        <v>8</v>
      </c>
      <c r="AB65" s="3"/>
      <c r="AC65" s="3">
        <v>10.16</v>
      </c>
      <c r="AD65" s="3">
        <v>1</v>
      </c>
      <c r="AE65" s="3"/>
      <c r="AF65" s="38">
        <f t="shared" si="4"/>
        <v>10.16</v>
      </c>
      <c r="AG65" s="36"/>
      <c r="AH65" s="30"/>
      <c r="AI65" s="17"/>
      <c r="AJ65" s="18"/>
      <c r="AK65" s="3"/>
      <c r="AL65" s="3"/>
      <c r="AM65" s="3"/>
      <c r="AN65" s="3"/>
      <c r="AO65" s="45"/>
      <c r="AP65" s="25"/>
      <c r="AQ65" s="3"/>
      <c r="AR65" s="3"/>
      <c r="AS65" s="3"/>
      <c r="AT65" s="3"/>
      <c r="AU65" s="3"/>
      <c r="AV65" s="3"/>
    </row>
    <row r="66" spans="1:48">
      <c r="A66" s="4">
        <v>64</v>
      </c>
      <c r="B66" s="5" t="s">
        <v>266</v>
      </c>
      <c r="C66" s="6" t="s">
        <v>267</v>
      </c>
      <c r="D66" s="6" t="s">
        <v>268</v>
      </c>
      <c r="E66" s="21"/>
      <c r="F66" s="24" t="s">
        <v>355</v>
      </c>
      <c r="G66" s="28" t="s">
        <v>349</v>
      </c>
      <c r="H66" s="4"/>
      <c r="I66" s="14" t="s">
        <v>8</v>
      </c>
      <c r="J66" s="6"/>
      <c r="K66" s="6">
        <v>27.2</v>
      </c>
      <c r="L66" s="6">
        <v>1</v>
      </c>
      <c r="M66" s="6">
        <v>0</v>
      </c>
      <c r="N66" s="29">
        <f t="shared" si="6"/>
        <v>27.2</v>
      </c>
      <c r="O66" s="36"/>
      <c r="P66" s="30"/>
      <c r="Q66" s="17"/>
      <c r="R66" s="18"/>
      <c r="S66" s="19"/>
      <c r="T66" s="19"/>
      <c r="U66" s="3"/>
      <c r="V66" s="3">
        <v>0</v>
      </c>
      <c r="W66" s="38">
        <f t="shared" si="3"/>
        <v>0</v>
      </c>
      <c r="X66" s="36"/>
      <c r="Y66" s="30"/>
      <c r="Z66" s="17"/>
      <c r="AA66" s="18"/>
      <c r="AB66" s="3"/>
      <c r="AC66" s="3"/>
      <c r="AD66" s="3"/>
      <c r="AE66" s="3"/>
      <c r="AF66" s="38">
        <f t="shared" si="4"/>
        <v>0</v>
      </c>
      <c r="AG66" s="36"/>
      <c r="AH66" s="30"/>
      <c r="AI66" s="17"/>
      <c r="AJ66" s="18"/>
      <c r="AK66" s="3"/>
      <c r="AL66" s="3"/>
      <c r="AM66" s="3"/>
      <c r="AN66" s="3"/>
      <c r="AO66" s="45">
        <v>0</v>
      </c>
      <c r="AP66" s="25"/>
      <c r="AQ66" s="7"/>
      <c r="AR66" s="3"/>
      <c r="AS66" s="3"/>
      <c r="AT66" s="3"/>
      <c r="AU66" s="3"/>
      <c r="AV66" s="3"/>
    </row>
    <row r="67" spans="1:48">
      <c r="A67" s="4">
        <v>65</v>
      </c>
      <c r="B67" s="11" t="s">
        <v>269</v>
      </c>
      <c r="C67" s="6" t="s">
        <v>270</v>
      </c>
      <c r="D67" s="6" t="s">
        <v>271</v>
      </c>
      <c r="E67" s="21"/>
      <c r="F67" s="24"/>
      <c r="G67" s="28" t="s">
        <v>349</v>
      </c>
      <c r="H67" s="4"/>
      <c r="I67" s="14" t="s">
        <v>8</v>
      </c>
      <c r="J67" s="6"/>
      <c r="K67" s="6">
        <v>10.5</v>
      </c>
      <c r="L67" s="6">
        <v>2</v>
      </c>
      <c r="M67" s="6">
        <v>0</v>
      </c>
      <c r="N67" s="29">
        <f t="shared" si="6"/>
        <v>21</v>
      </c>
      <c r="O67" s="36"/>
      <c r="P67" s="30" t="s">
        <v>211</v>
      </c>
      <c r="Q67" s="17" t="s">
        <v>94</v>
      </c>
      <c r="R67" s="18" t="s">
        <v>8</v>
      </c>
      <c r="S67" s="19"/>
      <c r="T67" s="19">
        <v>11.99</v>
      </c>
      <c r="U67" s="3">
        <v>2</v>
      </c>
      <c r="V67" s="3">
        <v>0</v>
      </c>
      <c r="W67" s="38">
        <f t="shared" si="3"/>
        <v>23.98</v>
      </c>
      <c r="X67" s="36"/>
      <c r="Y67" s="30" t="s">
        <v>95</v>
      </c>
      <c r="Z67" s="17" t="s">
        <v>94</v>
      </c>
      <c r="AA67" s="18" t="s">
        <v>8</v>
      </c>
      <c r="AB67" s="3"/>
      <c r="AC67" s="3">
        <v>16.61</v>
      </c>
      <c r="AD67" s="3">
        <v>2</v>
      </c>
      <c r="AE67" s="3"/>
      <c r="AF67" s="38">
        <f t="shared" si="4"/>
        <v>33.22</v>
      </c>
      <c r="AG67" s="36"/>
      <c r="AH67" s="30"/>
      <c r="AI67" s="17"/>
      <c r="AJ67" s="18"/>
      <c r="AK67" s="3"/>
      <c r="AL67" s="3"/>
      <c r="AM67" s="3"/>
      <c r="AN67" s="3"/>
      <c r="AO67" s="45">
        <v>0</v>
      </c>
      <c r="AP67" s="25"/>
      <c r="AQ67" s="3"/>
      <c r="AR67" s="3"/>
      <c r="AS67" s="3"/>
      <c r="AT67" s="3"/>
      <c r="AU67" s="3"/>
      <c r="AV67" s="3"/>
    </row>
    <row r="68" spans="1:48">
      <c r="A68" s="4">
        <v>66</v>
      </c>
      <c r="B68" s="11" t="s">
        <v>272</v>
      </c>
      <c r="C68" s="6" t="s">
        <v>273</v>
      </c>
      <c r="D68" s="6" t="s">
        <v>274</v>
      </c>
      <c r="E68" s="21"/>
      <c r="F68" s="24"/>
      <c r="G68" s="28" t="s">
        <v>349</v>
      </c>
      <c r="H68" s="4"/>
      <c r="I68" s="14" t="s">
        <v>8</v>
      </c>
      <c r="J68" s="6"/>
      <c r="K68" s="6">
        <v>14.7</v>
      </c>
      <c r="L68" s="6">
        <v>1</v>
      </c>
      <c r="M68" s="6">
        <v>0</v>
      </c>
      <c r="N68" s="29">
        <f t="shared" si="6"/>
        <v>14.7</v>
      </c>
      <c r="O68" s="36"/>
      <c r="P68" s="30" t="s">
        <v>211</v>
      </c>
      <c r="Q68" s="17" t="s">
        <v>94</v>
      </c>
      <c r="R68" s="18" t="s">
        <v>8</v>
      </c>
      <c r="S68" s="19"/>
      <c r="T68" s="19">
        <v>17.989999999999998</v>
      </c>
      <c r="U68" s="3">
        <v>1</v>
      </c>
      <c r="V68" s="3">
        <v>0</v>
      </c>
      <c r="W68" s="38">
        <f t="shared" ref="W68:W92" si="7">T68*U68</f>
        <v>17.989999999999998</v>
      </c>
      <c r="X68" s="36"/>
      <c r="Y68" s="30" t="s">
        <v>95</v>
      </c>
      <c r="Z68" s="17" t="s">
        <v>94</v>
      </c>
      <c r="AA68" s="18" t="s">
        <v>8</v>
      </c>
      <c r="AB68" s="3"/>
      <c r="AC68" s="3">
        <v>20.25</v>
      </c>
      <c r="AD68" s="3">
        <v>1</v>
      </c>
      <c r="AE68" s="3"/>
      <c r="AF68" s="38">
        <f t="shared" ref="AF68:AF92" si="8">AD68*AC68</f>
        <v>20.25</v>
      </c>
      <c r="AG68" s="36"/>
      <c r="AH68" s="30"/>
      <c r="AI68" s="17"/>
      <c r="AJ68" s="18"/>
      <c r="AK68" s="3"/>
      <c r="AL68" s="3"/>
      <c r="AM68" s="3"/>
      <c r="AN68" s="3"/>
      <c r="AO68" s="45">
        <v>0</v>
      </c>
      <c r="AP68" s="25"/>
      <c r="AQ68" s="3"/>
      <c r="AR68" s="3"/>
      <c r="AS68" s="3"/>
      <c r="AT68" s="3"/>
      <c r="AU68" s="3"/>
      <c r="AV68" s="3"/>
    </row>
    <row r="69" spans="1:48">
      <c r="A69" s="4">
        <v>73</v>
      </c>
      <c r="B69" s="11" t="s">
        <v>275</v>
      </c>
      <c r="C69" s="6" t="s">
        <v>276</v>
      </c>
      <c r="D69" s="6" t="s">
        <v>277</v>
      </c>
      <c r="E69" s="21"/>
      <c r="F69" s="24"/>
      <c r="G69" s="28" t="s">
        <v>349</v>
      </c>
      <c r="H69" s="12">
        <v>1</v>
      </c>
      <c r="I69" s="14" t="s">
        <v>8</v>
      </c>
      <c r="J69" s="6"/>
      <c r="K69" s="6">
        <v>25.3</v>
      </c>
      <c r="L69" s="6">
        <v>1</v>
      </c>
      <c r="M69" s="6">
        <f>J69*L69</f>
        <v>0</v>
      </c>
      <c r="N69" s="29">
        <f>K69*L69</f>
        <v>25.3</v>
      </c>
      <c r="O69" s="36"/>
      <c r="P69" s="30" t="s">
        <v>211</v>
      </c>
      <c r="Q69" s="7" t="s">
        <v>94</v>
      </c>
      <c r="R69" s="18" t="s">
        <v>8</v>
      </c>
      <c r="S69" s="19"/>
      <c r="T69" s="19">
        <v>27.9</v>
      </c>
      <c r="U69" s="3">
        <v>1</v>
      </c>
      <c r="V69" s="3">
        <f>S69*U69</f>
        <v>0</v>
      </c>
      <c r="W69" s="38">
        <f>T69*U69</f>
        <v>27.9</v>
      </c>
      <c r="X69" s="36"/>
      <c r="Y69" s="30" t="s">
        <v>95</v>
      </c>
      <c r="Z69" s="17" t="s">
        <v>94</v>
      </c>
      <c r="AA69" s="18" t="s">
        <v>8</v>
      </c>
      <c r="AB69" s="3"/>
      <c r="AC69" s="3">
        <v>32.03</v>
      </c>
      <c r="AD69" s="3">
        <v>1</v>
      </c>
      <c r="AE69" s="3"/>
      <c r="AF69" s="38">
        <f>AD69*AC69</f>
        <v>32.03</v>
      </c>
      <c r="AG69" s="36"/>
      <c r="AH69" s="30"/>
      <c r="AI69" s="17"/>
      <c r="AJ69" s="18"/>
      <c r="AK69" s="3"/>
      <c r="AL69" s="3"/>
      <c r="AM69" s="3"/>
      <c r="AN69" s="3"/>
      <c r="AO69" s="45">
        <f>AL69*AM69</f>
        <v>0</v>
      </c>
      <c r="AP69" s="25"/>
      <c r="AQ69" s="3"/>
      <c r="AR69" s="3"/>
      <c r="AS69" s="3"/>
      <c r="AT69" s="3"/>
      <c r="AU69" s="3"/>
      <c r="AV69" s="3"/>
    </row>
    <row r="70" spans="1:48">
      <c r="A70" s="4">
        <v>67</v>
      </c>
      <c r="B70" s="11" t="s">
        <v>278</v>
      </c>
      <c r="C70" s="6" t="s">
        <v>279</v>
      </c>
      <c r="D70" s="6" t="s">
        <v>280</v>
      </c>
      <c r="E70" s="21"/>
      <c r="F70" s="24"/>
      <c r="G70" s="28" t="s">
        <v>349</v>
      </c>
      <c r="H70" s="4"/>
      <c r="I70" s="14" t="s">
        <v>8</v>
      </c>
      <c r="J70" s="6"/>
      <c r="K70" s="6">
        <v>31.3</v>
      </c>
      <c r="L70" s="6">
        <v>1</v>
      </c>
      <c r="M70" s="6">
        <v>0</v>
      </c>
      <c r="N70" s="29">
        <f t="shared" si="6"/>
        <v>31.3</v>
      </c>
      <c r="O70" s="36"/>
      <c r="P70" s="30" t="s">
        <v>211</v>
      </c>
      <c r="Q70" s="17" t="s">
        <v>94</v>
      </c>
      <c r="R70" s="18" t="s">
        <v>8</v>
      </c>
      <c r="S70" s="19"/>
      <c r="T70" s="19">
        <v>47.99</v>
      </c>
      <c r="U70" s="3">
        <v>1</v>
      </c>
      <c r="V70" s="3">
        <v>0</v>
      </c>
      <c r="W70" s="38">
        <f t="shared" si="7"/>
        <v>47.99</v>
      </c>
      <c r="X70" s="36"/>
      <c r="Y70" s="30" t="s">
        <v>95</v>
      </c>
      <c r="Z70" s="17" t="s">
        <v>94</v>
      </c>
      <c r="AA70" s="18" t="s">
        <v>8</v>
      </c>
      <c r="AB70" s="3"/>
      <c r="AC70" s="3">
        <v>56.73</v>
      </c>
      <c r="AD70" s="3">
        <v>1</v>
      </c>
      <c r="AE70" s="3"/>
      <c r="AF70" s="38">
        <f t="shared" si="8"/>
        <v>56.73</v>
      </c>
      <c r="AG70" s="36"/>
      <c r="AH70" s="30"/>
      <c r="AI70" s="17"/>
      <c r="AJ70" s="18"/>
      <c r="AK70" s="3"/>
      <c r="AL70" s="3"/>
      <c r="AM70" s="3"/>
      <c r="AN70" s="3"/>
      <c r="AO70" s="45">
        <v>0</v>
      </c>
      <c r="AP70" s="25"/>
      <c r="AQ70" s="3"/>
      <c r="AR70" s="3"/>
      <c r="AS70" s="3"/>
      <c r="AT70" s="3"/>
      <c r="AU70" s="3"/>
      <c r="AV70" s="3"/>
    </row>
    <row r="71" spans="1:48">
      <c r="A71" s="4">
        <v>74</v>
      </c>
      <c r="B71" s="11" t="s">
        <v>281</v>
      </c>
      <c r="C71" s="6" t="s">
        <v>282</v>
      </c>
      <c r="D71" s="6" t="s">
        <v>283</v>
      </c>
      <c r="E71" s="21"/>
      <c r="F71" s="24"/>
      <c r="G71" s="28" t="s">
        <v>349</v>
      </c>
      <c r="H71" s="12">
        <v>1</v>
      </c>
      <c r="I71" s="14" t="s">
        <v>8</v>
      </c>
      <c r="J71" s="6"/>
      <c r="K71" s="6">
        <v>22.4</v>
      </c>
      <c r="L71" s="6">
        <v>1</v>
      </c>
      <c r="M71" s="6">
        <f>J71*L71</f>
        <v>0</v>
      </c>
      <c r="N71" s="29">
        <f>K71*L71</f>
        <v>22.4</v>
      </c>
      <c r="O71" s="36"/>
      <c r="P71" s="30" t="s">
        <v>211</v>
      </c>
      <c r="Q71" s="7" t="s">
        <v>94</v>
      </c>
      <c r="R71" s="18" t="s">
        <v>8</v>
      </c>
      <c r="S71" s="19"/>
      <c r="T71" s="19">
        <v>26.99</v>
      </c>
      <c r="U71" s="3">
        <v>1</v>
      </c>
      <c r="V71" s="3">
        <f>S71*U71</f>
        <v>0</v>
      </c>
      <c r="W71" s="38">
        <f>T71*U71</f>
        <v>26.99</v>
      </c>
      <c r="X71" s="36"/>
      <c r="Y71" s="30" t="s">
        <v>95</v>
      </c>
      <c r="Z71" s="17" t="s">
        <v>94</v>
      </c>
      <c r="AA71" s="18" t="s">
        <v>8</v>
      </c>
      <c r="AB71" s="3"/>
      <c r="AC71" s="3">
        <v>30.71</v>
      </c>
      <c r="AD71" s="3">
        <v>1</v>
      </c>
      <c r="AE71" s="3"/>
      <c r="AF71" s="38">
        <f>AD71*AC71</f>
        <v>30.71</v>
      </c>
      <c r="AG71" s="36"/>
      <c r="AH71" s="30"/>
      <c r="AI71" s="17"/>
      <c r="AJ71" s="18"/>
      <c r="AK71" s="3"/>
      <c r="AL71" s="3"/>
      <c r="AM71" s="3"/>
      <c r="AN71" s="3"/>
      <c r="AO71" s="45">
        <f>AL71*AM71</f>
        <v>0</v>
      </c>
      <c r="AP71" s="25"/>
      <c r="AQ71" s="3"/>
      <c r="AR71" s="3"/>
      <c r="AS71" s="3"/>
      <c r="AT71" s="3"/>
      <c r="AU71" s="3"/>
      <c r="AV71" s="3"/>
    </row>
    <row r="72" spans="1:48">
      <c r="A72" s="4">
        <v>68</v>
      </c>
      <c r="B72" s="11" t="s">
        <v>284</v>
      </c>
      <c r="C72" s="6" t="s">
        <v>285</v>
      </c>
      <c r="D72" s="6" t="s">
        <v>286</v>
      </c>
      <c r="E72" s="21"/>
      <c r="F72" s="24"/>
      <c r="G72" s="28" t="s">
        <v>349</v>
      </c>
      <c r="H72" s="4"/>
      <c r="I72" s="14" t="s">
        <v>8</v>
      </c>
      <c r="J72" s="6"/>
      <c r="K72" s="6">
        <v>1</v>
      </c>
      <c r="L72" s="6">
        <v>80</v>
      </c>
      <c r="M72" s="6">
        <v>0</v>
      </c>
      <c r="N72" s="29">
        <f t="shared" si="6"/>
        <v>80</v>
      </c>
      <c r="O72" s="36"/>
      <c r="P72" s="30" t="s">
        <v>211</v>
      </c>
      <c r="Q72" s="17" t="s">
        <v>94</v>
      </c>
      <c r="R72" s="18" t="s">
        <v>8</v>
      </c>
      <c r="S72" s="19"/>
      <c r="T72" s="19">
        <v>1</v>
      </c>
      <c r="U72" s="3">
        <v>80</v>
      </c>
      <c r="V72" s="3">
        <v>0</v>
      </c>
      <c r="W72" s="38">
        <f t="shared" si="7"/>
        <v>80</v>
      </c>
      <c r="X72" s="36"/>
      <c r="Y72" s="30" t="s">
        <v>95</v>
      </c>
      <c r="Z72" s="17" t="s">
        <v>94</v>
      </c>
      <c r="AA72" s="18" t="s">
        <v>8</v>
      </c>
      <c r="AB72" s="3"/>
      <c r="AC72" s="3">
        <v>10.1</v>
      </c>
      <c r="AD72" s="3">
        <v>8</v>
      </c>
      <c r="AE72" s="3"/>
      <c r="AF72" s="38">
        <f t="shared" si="8"/>
        <v>80.8</v>
      </c>
      <c r="AG72" s="36"/>
      <c r="AH72" s="30"/>
      <c r="AI72" s="17"/>
      <c r="AJ72" s="18"/>
      <c r="AK72" s="3"/>
      <c r="AL72" s="3"/>
      <c r="AM72" s="3"/>
      <c r="AN72" s="3"/>
      <c r="AO72" s="45">
        <v>0</v>
      </c>
      <c r="AP72" s="25"/>
      <c r="AQ72" s="3"/>
      <c r="AR72" s="3"/>
      <c r="AS72" s="3"/>
      <c r="AT72" s="3"/>
      <c r="AU72" s="3"/>
      <c r="AV72" s="3"/>
    </row>
    <row r="73" spans="1:48">
      <c r="A73" s="4">
        <v>69</v>
      </c>
      <c r="B73" s="5" t="s">
        <v>287</v>
      </c>
      <c r="C73" s="6" t="s">
        <v>288</v>
      </c>
      <c r="D73" s="6" t="s">
        <v>289</v>
      </c>
      <c r="E73" s="21"/>
      <c r="F73" s="47" t="s">
        <v>355</v>
      </c>
      <c r="G73" s="28" t="s">
        <v>349</v>
      </c>
      <c r="H73" s="4"/>
      <c r="I73" s="14" t="s">
        <v>8</v>
      </c>
      <c r="J73" s="6"/>
      <c r="K73" s="6">
        <v>4.8</v>
      </c>
      <c r="L73" s="6">
        <v>2</v>
      </c>
      <c r="M73" s="6">
        <v>0</v>
      </c>
      <c r="N73" s="29">
        <f t="shared" si="6"/>
        <v>9.6</v>
      </c>
      <c r="O73" s="36"/>
      <c r="P73" s="30"/>
      <c r="Q73" s="17"/>
      <c r="R73" s="18"/>
      <c r="S73" s="19"/>
      <c r="T73" s="19"/>
      <c r="U73" s="3"/>
      <c r="V73" s="3">
        <v>0</v>
      </c>
      <c r="W73" s="38">
        <f t="shared" si="7"/>
        <v>0</v>
      </c>
      <c r="X73" s="36"/>
      <c r="Y73" s="30"/>
      <c r="Z73" s="17"/>
      <c r="AA73" s="18"/>
      <c r="AB73" s="3"/>
      <c r="AC73" s="3"/>
      <c r="AD73" s="3"/>
      <c r="AE73" s="3"/>
      <c r="AF73" s="38">
        <f t="shared" si="8"/>
        <v>0</v>
      </c>
      <c r="AG73" s="36"/>
      <c r="AH73" s="30"/>
      <c r="AI73" s="17"/>
      <c r="AJ73" s="18"/>
      <c r="AK73" s="3"/>
      <c r="AL73" s="3"/>
      <c r="AM73" s="3"/>
      <c r="AN73" s="3"/>
      <c r="AO73" s="45">
        <v>0</v>
      </c>
      <c r="AP73" s="25"/>
      <c r="AQ73" s="3"/>
      <c r="AR73" s="3"/>
      <c r="AS73" s="3"/>
      <c r="AT73" s="3"/>
      <c r="AU73" s="3"/>
      <c r="AV73" s="3"/>
    </row>
    <row r="74" spans="1:48">
      <c r="A74" s="4">
        <v>70</v>
      </c>
      <c r="B74" s="5" t="s">
        <v>290</v>
      </c>
      <c r="C74" s="6" t="s">
        <v>288</v>
      </c>
      <c r="D74" s="6" t="s">
        <v>291</v>
      </c>
      <c r="E74" s="21"/>
      <c r="F74" s="48"/>
      <c r="G74" s="28" t="s">
        <v>349</v>
      </c>
      <c r="H74" s="4"/>
      <c r="I74" s="14" t="s">
        <v>8</v>
      </c>
      <c r="J74" s="6"/>
      <c r="K74" s="6">
        <v>4.9000000000000004</v>
      </c>
      <c r="L74" s="6">
        <v>3</v>
      </c>
      <c r="M74" s="6">
        <v>0</v>
      </c>
      <c r="N74" s="29">
        <f t="shared" si="6"/>
        <v>14.700000000000001</v>
      </c>
      <c r="O74" s="36"/>
      <c r="P74" s="30"/>
      <c r="Q74" s="17"/>
      <c r="R74" s="18"/>
      <c r="S74" s="19"/>
      <c r="T74" s="19"/>
      <c r="U74" s="3"/>
      <c r="V74" s="3">
        <v>0</v>
      </c>
      <c r="W74" s="38">
        <f t="shared" si="7"/>
        <v>0</v>
      </c>
      <c r="X74" s="36"/>
      <c r="Y74" s="30"/>
      <c r="Z74" s="17"/>
      <c r="AA74" s="18"/>
      <c r="AB74" s="3"/>
      <c r="AC74" s="3"/>
      <c r="AD74" s="3"/>
      <c r="AE74" s="3"/>
      <c r="AF74" s="38">
        <f t="shared" si="8"/>
        <v>0</v>
      </c>
      <c r="AG74" s="36"/>
      <c r="AH74" s="30"/>
      <c r="AI74" s="17"/>
      <c r="AJ74" s="18"/>
      <c r="AK74" s="3"/>
      <c r="AL74" s="3"/>
      <c r="AM74" s="3"/>
      <c r="AN74" s="3"/>
      <c r="AO74" s="45">
        <v>0</v>
      </c>
      <c r="AP74" s="25"/>
      <c r="AQ74" s="3"/>
      <c r="AR74" s="3"/>
      <c r="AS74" s="3"/>
      <c r="AT74" s="3"/>
      <c r="AU74" s="3"/>
      <c r="AV74" s="3"/>
    </row>
    <row r="75" spans="1:48">
      <c r="A75" s="4">
        <v>75</v>
      </c>
      <c r="B75" s="11" t="s">
        <v>292</v>
      </c>
      <c r="C75" s="6" t="s">
        <v>293</v>
      </c>
      <c r="D75" s="6" t="s">
        <v>294</v>
      </c>
      <c r="E75" s="21" t="s">
        <v>231</v>
      </c>
      <c r="F75" s="24"/>
      <c r="G75" s="28" t="s">
        <v>349</v>
      </c>
      <c r="H75" s="12">
        <v>1</v>
      </c>
      <c r="I75" s="14" t="s">
        <v>8</v>
      </c>
      <c r="J75" s="6"/>
      <c r="K75" s="6">
        <v>7.84</v>
      </c>
      <c r="L75" s="6">
        <v>9</v>
      </c>
      <c r="M75" s="6">
        <f>J75*L75</f>
        <v>0</v>
      </c>
      <c r="N75" s="29">
        <f>K75*L75</f>
        <v>70.56</v>
      </c>
      <c r="O75" s="36"/>
      <c r="P75" s="30" t="s">
        <v>211</v>
      </c>
      <c r="Q75" s="7" t="s">
        <v>94</v>
      </c>
      <c r="R75" s="18" t="s">
        <v>8</v>
      </c>
      <c r="S75" s="3"/>
      <c r="T75" s="3">
        <v>7.9</v>
      </c>
      <c r="U75" s="3">
        <v>9</v>
      </c>
      <c r="V75" s="3"/>
      <c r="W75" s="38">
        <f>T75*U75</f>
        <v>71.100000000000009</v>
      </c>
      <c r="X75" s="36"/>
      <c r="Y75" s="30" t="s">
        <v>295</v>
      </c>
      <c r="Z75" s="17" t="s">
        <v>94</v>
      </c>
      <c r="AA75" s="18" t="s">
        <v>8</v>
      </c>
      <c r="AB75" s="19">
        <v>4.66</v>
      </c>
      <c r="AC75" s="19">
        <v>5.55</v>
      </c>
      <c r="AD75" s="3">
        <v>9</v>
      </c>
      <c r="AE75" s="3">
        <f>AB75*AD75</f>
        <v>41.94</v>
      </c>
      <c r="AF75" s="38">
        <f>AD75*AC75</f>
        <v>49.949999999999996</v>
      </c>
      <c r="AG75" s="36"/>
      <c r="AH75" s="30"/>
      <c r="AI75" s="17"/>
      <c r="AJ75" s="18"/>
      <c r="AK75" s="3"/>
      <c r="AL75" s="3"/>
      <c r="AM75" s="3"/>
      <c r="AN75" s="3"/>
      <c r="AO75" s="45">
        <f>AL75*AM75</f>
        <v>0</v>
      </c>
      <c r="AP75" s="25"/>
      <c r="AQ75" s="3"/>
      <c r="AR75" s="3"/>
      <c r="AS75" s="3"/>
      <c r="AT75" s="3"/>
      <c r="AU75" s="3"/>
      <c r="AV75" s="3"/>
    </row>
    <row r="76" spans="1:48">
      <c r="A76" s="4">
        <v>71</v>
      </c>
      <c r="B76" s="11" t="s">
        <v>296</v>
      </c>
      <c r="C76" s="6" t="s">
        <v>297</v>
      </c>
      <c r="D76" s="6" t="s">
        <v>298</v>
      </c>
      <c r="E76" s="21"/>
      <c r="F76" s="24"/>
      <c r="G76" s="28" t="s">
        <v>349</v>
      </c>
      <c r="H76" s="12"/>
      <c r="I76" s="14" t="s">
        <v>8</v>
      </c>
      <c r="J76" s="6"/>
      <c r="K76" s="6">
        <v>41.95</v>
      </c>
      <c r="L76" s="6">
        <v>1</v>
      </c>
      <c r="M76" s="6"/>
      <c r="N76" s="29">
        <f t="shared" si="6"/>
        <v>41.95</v>
      </c>
      <c r="O76" s="36"/>
      <c r="P76" s="30" t="s">
        <v>211</v>
      </c>
      <c r="Q76" s="17" t="s">
        <v>94</v>
      </c>
      <c r="R76" s="18" t="s">
        <v>8</v>
      </c>
      <c r="S76" s="19"/>
      <c r="T76" s="19">
        <v>42.99</v>
      </c>
      <c r="U76" s="3">
        <v>1</v>
      </c>
      <c r="V76" s="3">
        <f>S76*U76</f>
        <v>0</v>
      </c>
      <c r="W76" s="38">
        <f t="shared" si="7"/>
        <v>42.99</v>
      </c>
      <c r="X76" s="36"/>
      <c r="Y76" s="28" t="s">
        <v>350</v>
      </c>
      <c r="Z76" s="12" t="s">
        <v>94</v>
      </c>
      <c r="AA76" s="22" t="s">
        <v>8</v>
      </c>
      <c r="AB76" s="6"/>
      <c r="AC76" s="6">
        <v>42.99</v>
      </c>
      <c r="AD76" s="6">
        <v>1</v>
      </c>
      <c r="AE76" s="6"/>
      <c r="AF76" s="38">
        <f t="shared" si="8"/>
        <v>42.99</v>
      </c>
      <c r="AG76" s="36"/>
      <c r="AH76" s="30"/>
      <c r="AI76" s="17"/>
      <c r="AJ76" s="18"/>
      <c r="AK76" s="3"/>
      <c r="AL76" s="3"/>
      <c r="AM76" s="3"/>
      <c r="AN76" s="3"/>
      <c r="AO76" s="45">
        <f t="shared" ref="AO76:AO80" si="9">AL76*AM76</f>
        <v>0</v>
      </c>
      <c r="AP76" s="25"/>
      <c r="AQ76" s="3"/>
      <c r="AR76" s="3"/>
      <c r="AS76" s="3"/>
      <c r="AT76" s="3"/>
      <c r="AU76" s="3"/>
      <c r="AV76" s="3"/>
    </row>
    <row r="77" spans="1:48">
      <c r="A77" s="4">
        <v>72</v>
      </c>
      <c r="B77" s="11" t="s">
        <v>299</v>
      </c>
      <c r="C77" s="6" t="s">
        <v>297</v>
      </c>
      <c r="D77" s="6" t="s">
        <v>300</v>
      </c>
      <c r="E77" s="21"/>
      <c r="F77" s="24"/>
      <c r="G77" s="28" t="s">
        <v>349</v>
      </c>
      <c r="H77" s="12">
        <v>1</v>
      </c>
      <c r="I77" s="14" t="s">
        <v>8</v>
      </c>
      <c r="J77" s="6"/>
      <c r="K77" s="6">
        <v>52</v>
      </c>
      <c r="L77" s="6">
        <v>1</v>
      </c>
      <c r="M77" s="6"/>
      <c r="N77" s="29">
        <f t="shared" si="6"/>
        <v>52</v>
      </c>
      <c r="O77" s="36"/>
      <c r="P77" s="30" t="s">
        <v>211</v>
      </c>
      <c r="Q77" s="17" t="s">
        <v>94</v>
      </c>
      <c r="R77" s="22" t="s">
        <v>8</v>
      </c>
      <c r="S77" s="19"/>
      <c r="T77" s="19">
        <v>53.99</v>
      </c>
      <c r="U77" s="3">
        <v>1</v>
      </c>
      <c r="V77" s="3">
        <f>S77*U77</f>
        <v>0</v>
      </c>
      <c r="W77" s="38">
        <f t="shared" si="7"/>
        <v>53.99</v>
      </c>
      <c r="X77" s="36"/>
      <c r="Y77" s="30" t="s">
        <v>351</v>
      </c>
      <c r="Z77" s="17" t="s">
        <v>94</v>
      </c>
      <c r="AA77" s="22" t="s">
        <v>8</v>
      </c>
      <c r="AB77" s="19"/>
      <c r="AC77" s="19">
        <v>52</v>
      </c>
      <c r="AD77" s="3"/>
      <c r="AE77" s="3"/>
      <c r="AF77" s="38">
        <f t="shared" si="8"/>
        <v>0</v>
      </c>
      <c r="AG77" s="36"/>
      <c r="AH77" s="30"/>
      <c r="AI77" s="17"/>
      <c r="AJ77" s="18"/>
      <c r="AK77" s="3"/>
      <c r="AL77" s="3"/>
      <c r="AM77" s="3"/>
      <c r="AN77" s="3"/>
      <c r="AO77" s="45">
        <f t="shared" si="9"/>
        <v>0</v>
      </c>
      <c r="AP77" s="25"/>
      <c r="AQ77" s="3"/>
      <c r="AR77" s="3"/>
      <c r="AS77" s="3"/>
      <c r="AT77" s="3"/>
      <c r="AU77" s="3"/>
      <c r="AV77" s="3"/>
    </row>
    <row r="78" spans="1:48">
      <c r="A78" s="4">
        <v>76</v>
      </c>
      <c r="B78" s="5" t="s">
        <v>301</v>
      </c>
      <c r="C78" s="6" t="s">
        <v>302</v>
      </c>
      <c r="D78" s="6" t="s">
        <v>303</v>
      </c>
      <c r="E78" s="21"/>
      <c r="F78" s="24" t="s">
        <v>355</v>
      </c>
      <c r="G78" s="28" t="s">
        <v>304</v>
      </c>
      <c r="H78" s="4"/>
      <c r="I78" s="14" t="s">
        <v>8</v>
      </c>
      <c r="J78" s="6"/>
      <c r="K78" s="6">
        <v>15.99</v>
      </c>
      <c r="L78" s="6">
        <v>3</v>
      </c>
      <c r="M78" s="6">
        <f t="shared" ref="M78:M80" si="10">J78*L78</f>
        <v>0</v>
      </c>
      <c r="N78" s="29">
        <f t="shared" si="6"/>
        <v>47.97</v>
      </c>
      <c r="O78" s="36"/>
      <c r="P78" s="30"/>
      <c r="Q78" s="17"/>
      <c r="R78" s="18"/>
      <c r="S78" s="19"/>
      <c r="T78" s="19"/>
      <c r="U78" s="3"/>
      <c r="V78" s="3">
        <f>S78*U78</f>
        <v>0</v>
      </c>
      <c r="W78" s="38">
        <f t="shared" si="7"/>
        <v>0</v>
      </c>
      <c r="X78" s="36"/>
      <c r="Y78" s="30"/>
      <c r="Z78" s="17"/>
      <c r="AA78" s="18"/>
      <c r="AB78" s="3"/>
      <c r="AC78" s="3"/>
      <c r="AD78" s="3"/>
      <c r="AE78" s="3"/>
      <c r="AF78" s="38">
        <f t="shared" si="8"/>
        <v>0</v>
      </c>
      <c r="AG78" s="36"/>
      <c r="AH78" s="30"/>
      <c r="AI78" s="17"/>
      <c r="AJ78" s="18"/>
      <c r="AK78" s="3"/>
      <c r="AL78" s="3"/>
      <c r="AM78" s="3"/>
      <c r="AN78" s="3"/>
      <c r="AO78" s="45">
        <f t="shared" si="9"/>
        <v>0</v>
      </c>
      <c r="AP78" s="25"/>
      <c r="AQ78" s="7"/>
      <c r="AR78" s="3"/>
      <c r="AS78" s="3"/>
      <c r="AT78" s="3"/>
      <c r="AU78" s="3"/>
      <c r="AV78" s="3"/>
    </row>
    <row r="79" spans="1:48">
      <c r="A79" s="4">
        <v>77</v>
      </c>
      <c r="B79" s="11" t="s">
        <v>313</v>
      </c>
      <c r="C79" s="6" t="s">
        <v>314</v>
      </c>
      <c r="D79" s="6" t="s">
        <v>315</v>
      </c>
      <c r="E79" s="21"/>
      <c r="F79" s="24"/>
      <c r="G79" s="28" t="s">
        <v>316</v>
      </c>
      <c r="H79" s="4"/>
      <c r="I79" s="14" t="s">
        <v>8</v>
      </c>
      <c r="J79" s="6"/>
      <c r="K79" s="6">
        <v>8.5</v>
      </c>
      <c r="L79" s="6">
        <v>8</v>
      </c>
      <c r="M79" s="6">
        <f t="shared" si="10"/>
        <v>0</v>
      </c>
      <c r="N79" s="29">
        <f t="shared" si="6"/>
        <v>68</v>
      </c>
      <c r="O79" s="36"/>
      <c r="P79" s="30" t="s">
        <v>317</v>
      </c>
      <c r="Q79" s="17" t="s">
        <v>94</v>
      </c>
      <c r="R79" s="18" t="s">
        <v>8</v>
      </c>
      <c r="S79" s="19"/>
      <c r="T79" s="19">
        <v>25.45</v>
      </c>
      <c r="U79" s="3">
        <v>8</v>
      </c>
      <c r="V79" s="3">
        <f>S79*U79</f>
        <v>0</v>
      </c>
      <c r="W79" s="38">
        <f t="shared" si="7"/>
        <v>203.6</v>
      </c>
      <c r="X79" s="36"/>
      <c r="Y79" s="30" t="s">
        <v>95</v>
      </c>
      <c r="Z79" s="17" t="s">
        <v>94</v>
      </c>
      <c r="AA79" s="18" t="s">
        <v>8</v>
      </c>
      <c r="AB79" s="3"/>
      <c r="AC79" s="3">
        <v>10.76</v>
      </c>
      <c r="AD79" s="3">
        <v>8</v>
      </c>
      <c r="AE79" s="3"/>
      <c r="AF79" s="38">
        <f t="shared" si="8"/>
        <v>86.08</v>
      </c>
      <c r="AG79" s="36"/>
      <c r="AH79" s="30"/>
      <c r="AI79" s="17"/>
      <c r="AJ79" s="18"/>
      <c r="AK79" s="3"/>
      <c r="AL79" s="3"/>
      <c r="AM79" s="3"/>
      <c r="AN79" s="3"/>
      <c r="AO79" s="45">
        <f t="shared" si="9"/>
        <v>0</v>
      </c>
      <c r="AP79" s="25"/>
      <c r="AQ79" s="7"/>
      <c r="AR79" s="3"/>
      <c r="AS79" s="3"/>
      <c r="AT79" s="3"/>
      <c r="AU79" s="3"/>
      <c r="AV79" s="3"/>
    </row>
    <row r="80" spans="1:48">
      <c r="A80" s="4">
        <v>78</v>
      </c>
      <c r="B80" s="5" t="s">
        <v>318</v>
      </c>
      <c r="C80" s="6" t="s">
        <v>318</v>
      </c>
      <c r="D80" s="6" t="s">
        <v>319</v>
      </c>
      <c r="E80" s="21"/>
      <c r="F80" s="24" t="s">
        <v>355</v>
      </c>
      <c r="G80" s="28" t="s">
        <v>320</v>
      </c>
      <c r="H80" s="4"/>
      <c r="I80" s="14" t="s">
        <v>8</v>
      </c>
      <c r="J80" s="6">
        <v>4.8</v>
      </c>
      <c r="K80" s="6">
        <v>4.8</v>
      </c>
      <c r="L80" s="6">
        <v>4</v>
      </c>
      <c r="M80" s="6">
        <f t="shared" si="10"/>
        <v>19.2</v>
      </c>
      <c r="N80" s="29">
        <f t="shared" si="6"/>
        <v>19.2</v>
      </c>
      <c r="O80" s="36"/>
      <c r="P80" s="30"/>
      <c r="Q80" s="17"/>
      <c r="R80" s="18"/>
      <c r="S80" s="19"/>
      <c r="T80" s="19"/>
      <c r="U80" s="3"/>
      <c r="V80" s="3">
        <f>S80*U80</f>
        <v>0</v>
      </c>
      <c r="W80" s="38">
        <f t="shared" si="7"/>
        <v>0</v>
      </c>
      <c r="X80" s="36"/>
      <c r="Y80" s="30"/>
      <c r="Z80" s="17"/>
      <c r="AA80" s="18"/>
      <c r="AB80" s="3"/>
      <c r="AC80" s="3"/>
      <c r="AD80" s="3"/>
      <c r="AE80" s="3"/>
      <c r="AF80" s="38">
        <f t="shared" si="8"/>
        <v>0</v>
      </c>
      <c r="AG80" s="36"/>
      <c r="AH80" s="30"/>
      <c r="AI80" s="17"/>
      <c r="AJ80" s="18"/>
      <c r="AK80" s="3"/>
      <c r="AL80" s="3"/>
      <c r="AM80" s="3"/>
      <c r="AN80" s="3"/>
      <c r="AO80" s="45">
        <f t="shared" si="9"/>
        <v>0</v>
      </c>
      <c r="AP80" s="25"/>
      <c r="AQ80" s="7"/>
      <c r="AR80" s="3"/>
      <c r="AS80" s="3"/>
      <c r="AT80" s="3"/>
      <c r="AU80" s="3"/>
      <c r="AV80" s="3"/>
    </row>
    <row r="81" spans="1:48">
      <c r="A81" s="4">
        <v>79</v>
      </c>
      <c r="B81" s="5" t="s">
        <v>321</v>
      </c>
      <c r="C81" s="6" t="s">
        <v>322</v>
      </c>
      <c r="D81" s="6" t="s">
        <v>323</v>
      </c>
      <c r="E81" s="21"/>
      <c r="F81" s="24" t="s">
        <v>355</v>
      </c>
      <c r="G81" s="30" t="s">
        <v>95</v>
      </c>
      <c r="H81" s="4"/>
      <c r="I81" s="14" t="s">
        <v>8</v>
      </c>
      <c r="J81" s="6">
        <v>28.53</v>
      </c>
      <c r="K81" s="6">
        <v>33.950000000000003</v>
      </c>
      <c r="L81" s="6">
        <v>1</v>
      </c>
      <c r="M81" s="6"/>
      <c r="N81" s="29">
        <f t="shared" ref="N81:N92" si="11">K81*L81</f>
        <v>33.950000000000003</v>
      </c>
      <c r="O81" s="36"/>
      <c r="P81" s="30"/>
      <c r="Q81" s="17"/>
      <c r="R81" s="18"/>
      <c r="S81" s="19"/>
      <c r="T81" s="19"/>
      <c r="U81" s="3"/>
      <c r="V81" s="3">
        <v>0</v>
      </c>
      <c r="W81" s="38">
        <f t="shared" si="7"/>
        <v>0</v>
      </c>
      <c r="X81" s="36"/>
      <c r="Y81" s="30"/>
      <c r="Z81" s="17"/>
      <c r="AA81" s="18"/>
      <c r="AB81" s="3"/>
      <c r="AC81" s="3"/>
      <c r="AD81" s="3"/>
      <c r="AE81" s="3"/>
      <c r="AF81" s="38">
        <f t="shared" si="8"/>
        <v>0</v>
      </c>
      <c r="AG81" s="36"/>
      <c r="AH81" s="30"/>
      <c r="AI81" s="17"/>
      <c r="AJ81" s="18"/>
      <c r="AK81" s="3"/>
      <c r="AL81" s="3"/>
      <c r="AM81" s="3"/>
      <c r="AN81" s="3"/>
      <c r="AO81" s="45">
        <v>0</v>
      </c>
      <c r="AP81" s="25"/>
      <c r="AQ81" s="7"/>
      <c r="AR81" s="3"/>
      <c r="AS81" s="3"/>
      <c r="AT81" s="3"/>
      <c r="AU81" s="3"/>
      <c r="AV81" s="3"/>
    </row>
    <row r="82" spans="1:48">
      <c r="A82" s="4">
        <v>80</v>
      </c>
      <c r="B82" s="11" t="s">
        <v>352</v>
      </c>
      <c r="C82" s="6" t="s">
        <v>308</v>
      </c>
      <c r="D82" s="6" t="s">
        <v>309</v>
      </c>
      <c r="E82" s="21"/>
      <c r="F82" s="24"/>
      <c r="G82" s="30" t="s">
        <v>95</v>
      </c>
      <c r="H82" s="7" t="s">
        <v>94</v>
      </c>
      <c r="I82" s="22" t="s">
        <v>8</v>
      </c>
      <c r="J82" s="3"/>
      <c r="K82" s="3">
        <v>61.52</v>
      </c>
      <c r="L82" s="3">
        <v>1</v>
      </c>
      <c r="M82" s="3"/>
      <c r="N82" s="29">
        <f t="shared" si="11"/>
        <v>61.52</v>
      </c>
      <c r="O82" s="36"/>
      <c r="P82" s="30" t="s">
        <v>211</v>
      </c>
      <c r="Q82" s="17" t="s">
        <v>94</v>
      </c>
      <c r="R82" s="18" t="s">
        <v>8</v>
      </c>
      <c r="S82" s="19"/>
      <c r="T82" s="19">
        <v>0.88</v>
      </c>
      <c r="U82" s="3">
        <v>100</v>
      </c>
      <c r="V82" s="3">
        <v>0</v>
      </c>
      <c r="W82" s="38">
        <f t="shared" si="7"/>
        <v>88</v>
      </c>
      <c r="X82" s="36"/>
      <c r="Y82" s="28" t="s">
        <v>310</v>
      </c>
      <c r="Z82" s="12"/>
      <c r="AA82" s="14" t="s">
        <v>8</v>
      </c>
      <c r="AB82" s="6"/>
      <c r="AC82" s="6">
        <v>62.13</v>
      </c>
      <c r="AD82" s="6">
        <v>1</v>
      </c>
      <c r="AE82" s="6">
        <v>0</v>
      </c>
      <c r="AF82" s="38">
        <f t="shared" si="8"/>
        <v>62.13</v>
      </c>
      <c r="AG82" s="36"/>
      <c r="AH82" s="30"/>
      <c r="AI82" s="17"/>
      <c r="AJ82" s="18"/>
      <c r="AK82" s="3"/>
      <c r="AL82" s="3"/>
      <c r="AM82" s="3"/>
      <c r="AN82" s="3"/>
      <c r="AO82" s="45">
        <v>0</v>
      </c>
      <c r="AP82" s="25"/>
      <c r="AQ82" s="7"/>
      <c r="AR82" s="3"/>
      <c r="AS82" s="3"/>
      <c r="AT82" s="3"/>
      <c r="AU82" s="3"/>
      <c r="AV82" s="3"/>
    </row>
    <row r="83" spans="1:48">
      <c r="A83" s="4">
        <v>81</v>
      </c>
      <c r="B83" s="11" t="s">
        <v>353</v>
      </c>
      <c r="C83" s="6" t="s">
        <v>311</v>
      </c>
      <c r="D83" s="6" t="s">
        <v>312</v>
      </c>
      <c r="E83" s="21"/>
      <c r="F83" s="24"/>
      <c r="G83" s="30" t="s">
        <v>95</v>
      </c>
      <c r="H83" s="7" t="s">
        <v>94</v>
      </c>
      <c r="I83" s="18" t="s">
        <v>8</v>
      </c>
      <c r="J83" s="3"/>
      <c r="K83" s="3">
        <v>11.52</v>
      </c>
      <c r="L83" s="3">
        <v>3</v>
      </c>
      <c r="M83" s="3"/>
      <c r="N83" s="29">
        <f t="shared" si="11"/>
        <v>34.56</v>
      </c>
      <c r="O83" s="36"/>
      <c r="P83" s="30" t="s">
        <v>211</v>
      </c>
      <c r="Q83" s="17" t="s">
        <v>94</v>
      </c>
      <c r="R83" s="18" t="s">
        <v>8</v>
      </c>
      <c r="S83" s="19"/>
      <c r="T83" s="19">
        <v>13.99</v>
      </c>
      <c r="U83" s="3">
        <v>3</v>
      </c>
      <c r="V83" s="3">
        <v>0</v>
      </c>
      <c r="W83" s="38">
        <f t="shared" si="7"/>
        <v>41.97</v>
      </c>
      <c r="X83" s="36"/>
      <c r="Y83" s="28" t="s">
        <v>310</v>
      </c>
      <c r="Z83" s="12"/>
      <c r="AA83" s="14" t="s">
        <v>8</v>
      </c>
      <c r="AB83" s="6"/>
      <c r="AC83" s="6">
        <v>12.459300000000001</v>
      </c>
      <c r="AD83" s="6">
        <v>3</v>
      </c>
      <c r="AE83" s="6">
        <v>0</v>
      </c>
      <c r="AF83" s="38">
        <f t="shared" si="8"/>
        <v>37.377900000000004</v>
      </c>
      <c r="AG83" s="36"/>
      <c r="AH83" s="30"/>
      <c r="AI83" s="17"/>
      <c r="AJ83" s="18"/>
      <c r="AK83" s="3"/>
      <c r="AL83" s="3"/>
      <c r="AM83" s="3"/>
      <c r="AN83" s="3"/>
      <c r="AO83" s="45">
        <v>0</v>
      </c>
      <c r="AP83" s="25"/>
      <c r="AQ83" s="7"/>
      <c r="AR83" s="3"/>
      <c r="AS83" s="3"/>
      <c r="AT83" s="3"/>
      <c r="AU83" s="3"/>
      <c r="AV83" s="3"/>
    </row>
    <row r="84" spans="1:48">
      <c r="A84" s="4">
        <v>82</v>
      </c>
      <c r="B84" s="11" t="s">
        <v>324</v>
      </c>
      <c r="C84" s="6" t="s">
        <v>325</v>
      </c>
      <c r="D84" s="6" t="s">
        <v>326</v>
      </c>
      <c r="E84" s="21"/>
      <c r="F84" s="24"/>
      <c r="G84" s="30" t="s">
        <v>328</v>
      </c>
      <c r="H84" s="7" t="s">
        <v>94</v>
      </c>
      <c r="I84" s="18" t="s">
        <v>8</v>
      </c>
      <c r="J84" s="19"/>
      <c r="K84" s="19">
        <v>296.51</v>
      </c>
      <c r="L84" s="3">
        <v>1</v>
      </c>
      <c r="M84" s="3">
        <f>J84*L84</f>
        <v>0</v>
      </c>
      <c r="N84" s="29">
        <f t="shared" si="11"/>
        <v>296.51</v>
      </c>
      <c r="O84" s="36"/>
      <c r="P84" s="28" t="s">
        <v>327</v>
      </c>
      <c r="Q84" s="12">
        <v>1</v>
      </c>
      <c r="R84" s="14" t="s">
        <v>8</v>
      </c>
      <c r="S84" s="6"/>
      <c r="T84" s="6">
        <v>319</v>
      </c>
      <c r="U84" s="6">
        <v>1</v>
      </c>
      <c r="V84" s="6">
        <f>S84*U84</f>
        <v>0</v>
      </c>
      <c r="W84" s="38">
        <f t="shared" si="7"/>
        <v>319</v>
      </c>
      <c r="X84" s="36"/>
      <c r="Y84" s="30" t="s">
        <v>329</v>
      </c>
      <c r="Z84" s="17" t="s">
        <v>94</v>
      </c>
      <c r="AA84" s="18" t="s">
        <v>8</v>
      </c>
      <c r="AB84" s="3"/>
      <c r="AC84" s="3">
        <v>319</v>
      </c>
      <c r="AD84" s="3">
        <v>1</v>
      </c>
      <c r="AE84" s="3"/>
      <c r="AF84" s="38">
        <f t="shared" si="8"/>
        <v>319</v>
      </c>
      <c r="AG84" s="36"/>
      <c r="AH84" s="30"/>
      <c r="AI84" s="17"/>
      <c r="AJ84" s="18"/>
      <c r="AK84" s="3"/>
      <c r="AL84" s="3"/>
      <c r="AM84" s="3"/>
      <c r="AN84" s="3"/>
      <c r="AO84" s="45">
        <f>AL84*AM84</f>
        <v>0</v>
      </c>
      <c r="AP84" s="25"/>
      <c r="AQ84" s="7"/>
      <c r="AR84" s="3"/>
      <c r="AS84" s="3"/>
      <c r="AT84" s="3"/>
      <c r="AU84" s="3"/>
      <c r="AV84" s="3"/>
    </row>
    <row r="85" spans="1:48">
      <c r="A85" s="4">
        <v>84</v>
      </c>
      <c r="B85" s="11" t="s">
        <v>330</v>
      </c>
      <c r="C85" s="6" t="s">
        <v>331</v>
      </c>
      <c r="D85" s="6" t="s">
        <v>332</v>
      </c>
      <c r="E85" s="21"/>
      <c r="F85" s="24"/>
      <c r="G85" s="28" t="s">
        <v>333</v>
      </c>
      <c r="H85" s="4"/>
      <c r="I85" s="14" t="s">
        <v>8</v>
      </c>
      <c r="J85" s="6"/>
      <c r="K85" s="6">
        <v>28.8</v>
      </c>
      <c r="L85" s="6">
        <v>2</v>
      </c>
      <c r="M85" s="6">
        <v>0</v>
      </c>
      <c r="N85" s="29">
        <f>K85*L85</f>
        <v>57.6</v>
      </c>
      <c r="O85" s="36"/>
      <c r="P85" s="30" t="s">
        <v>211</v>
      </c>
      <c r="Q85" s="17" t="s">
        <v>94</v>
      </c>
      <c r="R85" s="18" t="s">
        <v>8</v>
      </c>
      <c r="S85" s="19"/>
      <c r="T85" s="19">
        <v>46.33</v>
      </c>
      <c r="U85" s="3">
        <v>2</v>
      </c>
      <c r="V85" s="3">
        <v>0</v>
      </c>
      <c r="W85" s="38">
        <f>T85*U85</f>
        <v>92.66</v>
      </c>
      <c r="X85" s="36"/>
      <c r="Y85" s="30" t="s">
        <v>95</v>
      </c>
      <c r="Z85" s="17" t="s">
        <v>94</v>
      </c>
      <c r="AA85" s="18" t="s">
        <v>8</v>
      </c>
      <c r="AB85" s="3"/>
      <c r="AC85" s="3">
        <v>92.49</v>
      </c>
      <c r="AD85" s="3">
        <v>1</v>
      </c>
      <c r="AE85" s="3"/>
      <c r="AF85" s="38">
        <f>AD85*AC85</f>
        <v>92.49</v>
      </c>
      <c r="AG85" s="36"/>
      <c r="AH85" s="30"/>
      <c r="AI85" s="17"/>
      <c r="AJ85" s="18"/>
      <c r="AK85" s="3"/>
      <c r="AL85" s="3"/>
      <c r="AM85" s="3"/>
      <c r="AN85" s="3"/>
      <c r="AO85" s="45">
        <v>0</v>
      </c>
      <c r="AP85" s="25"/>
      <c r="AQ85" s="3"/>
      <c r="AR85" s="3"/>
      <c r="AS85" s="3"/>
      <c r="AT85" s="3"/>
      <c r="AU85" s="3"/>
      <c r="AV85" s="3"/>
    </row>
    <row r="86" spans="1:48">
      <c r="A86" s="4">
        <v>83</v>
      </c>
      <c r="B86" s="11" t="s">
        <v>334</v>
      </c>
      <c r="C86" s="6" t="s">
        <v>335</v>
      </c>
      <c r="D86" s="6" t="s">
        <v>336</v>
      </c>
      <c r="E86" s="21"/>
      <c r="F86" s="24"/>
      <c r="G86" s="28" t="s">
        <v>333</v>
      </c>
      <c r="H86" s="12">
        <v>1</v>
      </c>
      <c r="I86" s="14" t="s">
        <v>8</v>
      </c>
      <c r="J86" s="6"/>
      <c r="K86" s="6">
        <v>44.39</v>
      </c>
      <c r="L86" s="6">
        <v>1</v>
      </c>
      <c r="M86" s="6">
        <v>0</v>
      </c>
      <c r="N86" s="29">
        <f t="shared" si="11"/>
        <v>44.39</v>
      </c>
      <c r="O86" s="36"/>
      <c r="P86" s="28"/>
      <c r="Q86" s="12"/>
      <c r="R86" s="14"/>
      <c r="S86" s="6"/>
      <c r="T86" s="6"/>
      <c r="U86" s="6"/>
      <c r="V86" s="6"/>
      <c r="W86" s="38">
        <f t="shared" si="7"/>
        <v>0</v>
      </c>
      <c r="X86" s="36"/>
      <c r="Y86" s="30" t="s">
        <v>95</v>
      </c>
      <c r="Z86" s="17" t="s">
        <v>94</v>
      </c>
      <c r="AA86" s="18" t="s">
        <v>8</v>
      </c>
      <c r="AB86" s="3"/>
      <c r="AC86" s="3">
        <v>99.64</v>
      </c>
      <c r="AD86" s="3">
        <v>1</v>
      </c>
      <c r="AE86" s="3"/>
      <c r="AF86" s="38">
        <f t="shared" si="8"/>
        <v>99.64</v>
      </c>
      <c r="AG86" s="36"/>
      <c r="AH86" s="30"/>
      <c r="AI86" s="17"/>
      <c r="AJ86" s="18"/>
      <c r="AK86" s="3"/>
      <c r="AL86" s="3"/>
      <c r="AM86" s="3"/>
      <c r="AN86" s="3"/>
      <c r="AO86" s="45">
        <v>0</v>
      </c>
      <c r="AP86" s="25"/>
      <c r="AQ86" s="7"/>
      <c r="AR86" s="3"/>
      <c r="AS86" s="3"/>
      <c r="AT86" s="3"/>
      <c r="AU86" s="3"/>
      <c r="AV86" s="3"/>
    </row>
    <row r="87" spans="1:48">
      <c r="A87" s="4">
        <v>85</v>
      </c>
      <c r="B87" s="11" t="s">
        <v>337</v>
      </c>
      <c r="C87" s="6" t="s">
        <v>338</v>
      </c>
      <c r="D87" s="6"/>
      <c r="E87" s="21" t="s">
        <v>231</v>
      </c>
      <c r="F87" s="24"/>
      <c r="G87" s="28" t="s">
        <v>339</v>
      </c>
      <c r="H87" s="4"/>
      <c r="I87" s="14" t="s">
        <v>256</v>
      </c>
      <c r="J87" s="6"/>
      <c r="K87" s="6">
        <v>171.9</v>
      </c>
      <c r="L87" s="6">
        <v>1</v>
      </c>
      <c r="M87" s="6">
        <f>J87*L87</f>
        <v>0</v>
      </c>
      <c r="N87" s="29">
        <f>K87*L87</f>
        <v>171.9</v>
      </c>
      <c r="O87" s="36"/>
      <c r="P87" s="30" t="s">
        <v>211</v>
      </c>
      <c r="Q87" s="17" t="s">
        <v>94</v>
      </c>
      <c r="R87" s="18" t="s">
        <v>8</v>
      </c>
      <c r="S87" s="19"/>
      <c r="T87" s="19">
        <v>215.97</v>
      </c>
      <c r="U87" s="3">
        <v>1</v>
      </c>
      <c r="V87" s="3">
        <f>S87*U87</f>
        <v>0</v>
      </c>
      <c r="W87" s="38">
        <f>T87*U87</f>
        <v>215.97</v>
      </c>
      <c r="X87" s="36"/>
      <c r="Y87" s="30" t="s">
        <v>310</v>
      </c>
      <c r="Z87" s="17" t="s">
        <v>94</v>
      </c>
      <c r="AA87" s="18" t="s">
        <v>8</v>
      </c>
      <c r="AB87" s="3"/>
      <c r="AC87" s="3">
        <v>181.63</v>
      </c>
      <c r="AD87" s="3">
        <v>1</v>
      </c>
      <c r="AE87" s="3"/>
      <c r="AF87" s="38">
        <f>AD87*AC87</f>
        <v>181.63</v>
      </c>
      <c r="AG87" s="36"/>
      <c r="AH87" s="30"/>
      <c r="AI87" s="17"/>
      <c r="AJ87" s="18"/>
      <c r="AK87" s="3"/>
      <c r="AL87" s="3"/>
      <c r="AM87" s="3"/>
      <c r="AN87" s="3"/>
      <c r="AO87" s="45">
        <f>AL87*AM87</f>
        <v>0</v>
      </c>
      <c r="AP87" s="25"/>
      <c r="AQ87" s="3"/>
      <c r="AR87" s="3"/>
      <c r="AS87" s="3"/>
      <c r="AT87" s="3"/>
      <c r="AU87" s="3"/>
      <c r="AV87" s="3"/>
    </row>
    <row r="88" spans="1:48">
      <c r="A88" s="4">
        <v>86</v>
      </c>
      <c r="B88" s="11" t="s">
        <v>208</v>
      </c>
      <c r="C88" s="6" t="s">
        <v>209</v>
      </c>
      <c r="D88" s="6" t="s">
        <v>210</v>
      </c>
      <c r="E88" s="21"/>
      <c r="F88" s="24"/>
      <c r="G88" s="30" t="s">
        <v>203</v>
      </c>
      <c r="H88" s="7" t="s">
        <v>94</v>
      </c>
      <c r="I88" s="22" t="s">
        <v>8</v>
      </c>
      <c r="J88" s="3"/>
      <c r="K88" s="3">
        <v>1.1200000000000001</v>
      </c>
      <c r="L88" s="3">
        <v>10</v>
      </c>
      <c r="M88" s="3"/>
      <c r="N88" s="29">
        <f t="shared" si="11"/>
        <v>11.200000000000001</v>
      </c>
      <c r="O88" s="36"/>
      <c r="P88" s="28" t="s">
        <v>93</v>
      </c>
      <c r="Q88" s="12">
        <v>1</v>
      </c>
      <c r="R88" s="14" t="s">
        <v>8</v>
      </c>
      <c r="S88" s="6"/>
      <c r="T88" s="6">
        <v>1.94</v>
      </c>
      <c r="U88" s="6">
        <v>10</v>
      </c>
      <c r="V88" s="6">
        <v>0</v>
      </c>
      <c r="W88" s="38">
        <f t="shared" si="7"/>
        <v>19.399999999999999</v>
      </c>
      <c r="X88" s="36"/>
      <c r="Y88" s="30" t="s">
        <v>95</v>
      </c>
      <c r="Z88" s="17" t="s">
        <v>94</v>
      </c>
      <c r="AA88" s="18" t="s">
        <v>8</v>
      </c>
      <c r="AB88" s="3"/>
      <c r="AC88" s="3">
        <v>96.98</v>
      </c>
      <c r="AD88" s="3">
        <v>1</v>
      </c>
      <c r="AE88" s="3"/>
      <c r="AF88" s="38">
        <f t="shared" si="8"/>
        <v>96.98</v>
      </c>
      <c r="AG88" s="36"/>
      <c r="AH88" s="30"/>
      <c r="AI88" s="17"/>
      <c r="AJ88" s="18"/>
      <c r="AK88" s="3"/>
      <c r="AL88" s="3"/>
      <c r="AM88" s="3"/>
      <c r="AN88" s="3"/>
      <c r="AO88" s="45"/>
      <c r="AP88" s="25"/>
      <c r="AQ88" s="3"/>
      <c r="AR88" s="3"/>
      <c r="AS88" s="3"/>
      <c r="AT88" s="3"/>
      <c r="AU88" s="3"/>
      <c r="AV88" s="3"/>
    </row>
    <row r="89" spans="1:48">
      <c r="A89" s="4">
        <v>87</v>
      </c>
      <c r="B89" s="11" t="s">
        <v>215</v>
      </c>
      <c r="C89" s="6" t="s">
        <v>216</v>
      </c>
      <c r="D89" s="6" t="s">
        <v>217</v>
      </c>
      <c r="E89" s="21"/>
      <c r="F89" s="24"/>
      <c r="G89" s="30" t="s">
        <v>203</v>
      </c>
      <c r="H89" s="7" t="s">
        <v>94</v>
      </c>
      <c r="I89" s="22" t="s">
        <v>8</v>
      </c>
      <c r="J89" s="3"/>
      <c r="K89" s="3">
        <v>3.16</v>
      </c>
      <c r="L89" s="3">
        <v>6</v>
      </c>
      <c r="M89" s="3"/>
      <c r="N89" s="29">
        <f t="shared" si="11"/>
        <v>18.96</v>
      </c>
      <c r="O89" s="36"/>
      <c r="P89" s="28" t="s">
        <v>93</v>
      </c>
      <c r="Q89" s="12">
        <v>1</v>
      </c>
      <c r="R89" s="14" t="s">
        <v>8</v>
      </c>
      <c r="S89" s="6"/>
      <c r="T89" s="6">
        <v>4.38</v>
      </c>
      <c r="U89" s="6">
        <v>6</v>
      </c>
      <c r="V89" s="6">
        <v>0</v>
      </c>
      <c r="W89" s="38">
        <f t="shared" si="7"/>
        <v>26.28</v>
      </c>
      <c r="X89" s="36"/>
      <c r="Y89" s="30" t="s">
        <v>95</v>
      </c>
      <c r="Z89" s="17" t="s">
        <v>94</v>
      </c>
      <c r="AA89" s="18" t="s">
        <v>8</v>
      </c>
      <c r="AB89" s="3"/>
      <c r="AC89" s="3">
        <v>44.27</v>
      </c>
      <c r="AD89" s="3">
        <v>1</v>
      </c>
      <c r="AE89" s="3"/>
      <c r="AF89" s="38">
        <f t="shared" si="8"/>
        <v>44.27</v>
      </c>
      <c r="AG89" s="36"/>
      <c r="AH89" s="30"/>
      <c r="AI89" s="17"/>
      <c r="AJ89" s="18"/>
      <c r="AK89" s="3"/>
      <c r="AL89" s="3"/>
      <c r="AM89" s="3"/>
      <c r="AN89" s="3"/>
      <c r="AO89" s="45"/>
      <c r="AP89" s="25"/>
      <c r="AQ89" s="3"/>
      <c r="AR89" s="3"/>
      <c r="AS89" s="3"/>
      <c r="AT89" s="3"/>
      <c r="AU89" s="3"/>
      <c r="AV89" s="3"/>
    </row>
    <row r="90" spans="1:48">
      <c r="A90" s="4">
        <v>88</v>
      </c>
      <c r="B90" s="11" t="s">
        <v>192</v>
      </c>
      <c r="C90" s="6" t="s">
        <v>193</v>
      </c>
      <c r="D90" s="6" t="s">
        <v>194</v>
      </c>
      <c r="E90" s="21"/>
      <c r="F90" s="24"/>
      <c r="G90" s="30" t="s">
        <v>203</v>
      </c>
      <c r="H90" s="7" t="s">
        <v>94</v>
      </c>
      <c r="I90" s="18" t="s">
        <v>8</v>
      </c>
      <c r="J90" s="3"/>
      <c r="K90" s="3">
        <v>47.02</v>
      </c>
      <c r="L90" s="3">
        <v>1</v>
      </c>
      <c r="M90" s="3"/>
      <c r="N90" s="29">
        <f t="shared" si="11"/>
        <v>47.02</v>
      </c>
      <c r="O90" s="36"/>
      <c r="P90" s="28" t="s">
        <v>93</v>
      </c>
      <c r="Q90" s="12">
        <v>1</v>
      </c>
      <c r="R90" s="14" t="s">
        <v>8</v>
      </c>
      <c r="S90" s="6"/>
      <c r="T90" s="6">
        <v>67.599999999999994</v>
      </c>
      <c r="U90" s="6">
        <v>1</v>
      </c>
      <c r="V90" s="6">
        <v>0</v>
      </c>
      <c r="W90" s="38">
        <f t="shared" si="7"/>
        <v>67.599999999999994</v>
      </c>
      <c r="X90" s="36"/>
      <c r="Y90" s="30" t="s">
        <v>196</v>
      </c>
      <c r="Z90" s="17" t="s">
        <v>94</v>
      </c>
      <c r="AA90" s="18" t="s">
        <v>8</v>
      </c>
      <c r="AB90" s="3"/>
      <c r="AC90" s="3">
        <v>51.82</v>
      </c>
      <c r="AD90" s="3">
        <v>1</v>
      </c>
      <c r="AE90" s="3"/>
      <c r="AF90" s="38">
        <f t="shared" si="8"/>
        <v>51.82</v>
      </c>
      <c r="AG90" s="36"/>
      <c r="AH90" s="30"/>
      <c r="AI90" s="17"/>
      <c r="AJ90" s="18"/>
      <c r="AK90" s="3"/>
      <c r="AL90" s="3"/>
      <c r="AM90" s="3"/>
      <c r="AN90" s="3"/>
      <c r="AO90" s="45"/>
      <c r="AP90" s="25"/>
      <c r="AQ90" s="7"/>
      <c r="AR90" s="3"/>
      <c r="AS90" s="3"/>
      <c r="AT90" s="3"/>
      <c r="AU90" s="3"/>
      <c r="AV90" s="3"/>
    </row>
    <row r="91" spans="1:48">
      <c r="A91" s="4">
        <v>89</v>
      </c>
      <c r="B91" s="11" t="s">
        <v>200</v>
      </c>
      <c r="C91" s="6" t="s">
        <v>201</v>
      </c>
      <c r="D91" s="6" t="s">
        <v>202</v>
      </c>
      <c r="E91" s="21"/>
      <c r="F91" s="24"/>
      <c r="G91" s="30" t="s">
        <v>203</v>
      </c>
      <c r="H91" s="7" t="s">
        <v>94</v>
      </c>
      <c r="I91" s="18" t="s">
        <v>8</v>
      </c>
      <c r="J91" s="3"/>
      <c r="K91" s="3">
        <v>3.42</v>
      </c>
      <c r="L91" s="3">
        <v>2</v>
      </c>
      <c r="M91" s="3"/>
      <c r="N91" s="29">
        <f t="shared" si="11"/>
        <v>6.84</v>
      </c>
      <c r="O91" s="36"/>
      <c r="P91" s="28" t="s">
        <v>93</v>
      </c>
      <c r="Q91" s="12">
        <v>1</v>
      </c>
      <c r="R91" s="14" t="s">
        <v>8</v>
      </c>
      <c r="S91" s="6"/>
      <c r="T91" s="6">
        <v>6.32</v>
      </c>
      <c r="U91" s="6">
        <v>2</v>
      </c>
      <c r="V91" s="6">
        <v>0</v>
      </c>
      <c r="W91" s="38">
        <f t="shared" si="7"/>
        <v>12.64</v>
      </c>
      <c r="X91" s="36"/>
      <c r="Y91" s="30" t="s">
        <v>95</v>
      </c>
      <c r="Z91" s="17" t="s">
        <v>94</v>
      </c>
      <c r="AA91" s="18" t="s">
        <v>8</v>
      </c>
      <c r="AB91" s="3"/>
      <c r="AC91" s="3">
        <v>63.78</v>
      </c>
      <c r="AD91" s="3">
        <v>1</v>
      </c>
      <c r="AE91" s="3"/>
      <c r="AF91" s="38">
        <f t="shared" si="8"/>
        <v>63.78</v>
      </c>
      <c r="AG91" s="36"/>
      <c r="AH91" s="30"/>
      <c r="AI91" s="17"/>
      <c r="AJ91" s="18"/>
      <c r="AK91" s="3"/>
      <c r="AL91" s="3"/>
      <c r="AM91" s="3"/>
      <c r="AN91" s="3"/>
      <c r="AO91" s="45"/>
      <c r="AP91" s="25"/>
      <c r="AQ91" s="7"/>
      <c r="AR91" s="3"/>
      <c r="AS91" s="3"/>
      <c r="AT91" s="3"/>
      <c r="AU91" s="3"/>
      <c r="AV91" s="3"/>
    </row>
    <row r="92" spans="1:48" ht="15.75" thickBot="1">
      <c r="A92" s="4">
        <v>90</v>
      </c>
      <c r="B92" s="11" t="s">
        <v>206</v>
      </c>
      <c r="C92" s="6"/>
      <c r="D92" s="6" t="s">
        <v>207</v>
      </c>
      <c r="E92" s="21"/>
      <c r="F92" s="24"/>
      <c r="G92" s="31" t="s">
        <v>203</v>
      </c>
      <c r="H92" s="32" t="s">
        <v>94</v>
      </c>
      <c r="I92" s="33" t="s">
        <v>8</v>
      </c>
      <c r="J92" s="34"/>
      <c r="K92" s="34">
        <v>9.09</v>
      </c>
      <c r="L92" s="34">
        <v>1</v>
      </c>
      <c r="M92" s="34"/>
      <c r="N92" s="35">
        <f t="shared" si="11"/>
        <v>9.09</v>
      </c>
      <c r="O92" s="36"/>
      <c r="P92" s="39" t="s">
        <v>93</v>
      </c>
      <c r="Q92" s="40">
        <v>1</v>
      </c>
      <c r="R92" s="41" t="s">
        <v>8</v>
      </c>
      <c r="S92" s="42"/>
      <c r="T92" s="42">
        <v>12.7</v>
      </c>
      <c r="U92" s="42">
        <v>1</v>
      </c>
      <c r="V92" s="42">
        <v>0</v>
      </c>
      <c r="W92" s="43">
        <f t="shared" si="7"/>
        <v>12.7</v>
      </c>
      <c r="X92" s="36"/>
      <c r="Y92" s="31" t="s">
        <v>95</v>
      </c>
      <c r="Z92" s="44" t="s">
        <v>94</v>
      </c>
      <c r="AA92" s="33" t="s">
        <v>8</v>
      </c>
      <c r="AB92" s="34"/>
      <c r="AC92" s="34">
        <v>12.7</v>
      </c>
      <c r="AD92" s="34">
        <v>1</v>
      </c>
      <c r="AE92" s="34"/>
      <c r="AF92" s="43">
        <f t="shared" si="8"/>
        <v>12.7</v>
      </c>
      <c r="AG92" s="36"/>
      <c r="AH92" s="31"/>
      <c r="AI92" s="44"/>
      <c r="AJ92" s="33"/>
      <c r="AK92" s="34"/>
      <c r="AL92" s="34"/>
      <c r="AM92" s="34"/>
      <c r="AN92" s="34"/>
      <c r="AO92" s="46"/>
      <c r="AP92" s="25"/>
      <c r="AQ92" s="3"/>
      <c r="AR92" s="3"/>
      <c r="AS92" s="3"/>
      <c r="AT92" s="3"/>
      <c r="AU92" s="3"/>
      <c r="AV92" s="3"/>
    </row>
  </sheetData>
  <mergeCells count="15">
    <mergeCell ref="F73:F74"/>
    <mergeCell ref="AR1:AV2"/>
    <mergeCell ref="F16:F29"/>
    <mergeCell ref="F40:F57"/>
    <mergeCell ref="A1:A2"/>
    <mergeCell ref="B1:B2"/>
    <mergeCell ref="C1:C2"/>
    <mergeCell ref="D1:D2"/>
    <mergeCell ref="E1:E2"/>
    <mergeCell ref="F1:F2"/>
    <mergeCell ref="G1:N1"/>
    <mergeCell ref="P1:W1"/>
    <mergeCell ref="Y1:AF1"/>
    <mergeCell ref="AH1:AO1"/>
    <mergeCell ref="AQ1:AQ2"/>
  </mergeCells>
  <conditionalFormatting sqref="D1">
    <cfRule type="duplicateValues" dxfId="36" priority="39"/>
  </conditionalFormatting>
  <conditionalFormatting sqref="D3">
    <cfRule type="duplicateValues" dxfId="35" priority="22"/>
  </conditionalFormatting>
  <conditionalFormatting sqref="D4:D6">
    <cfRule type="duplicateValues" dxfId="34" priority="23"/>
  </conditionalFormatting>
  <conditionalFormatting sqref="D7:D12">
    <cfRule type="duplicateValues" dxfId="33" priority="24"/>
  </conditionalFormatting>
  <conditionalFormatting sqref="D13:D14">
    <cfRule type="duplicateValues" dxfId="32" priority="2"/>
  </conditionalFormatting>
  <conditionalFormatting sqref="D15">
    <cfRule type="duplicateValues" dxfId="31" priority="1"/>
  </conditionalFormatting>
  <conditionalFormatting sqref="D16">
    <cfRule type="duplicateValues" dxfId="30" priority="28"/>
  </conditionalFormatting>
  <conditionalFormatting sqref="D17">
    <cfRule type="duplicateValues" dxfId="29" priority="29"/>
  </conditionalFormatting>
  <conditionalFormatting sqref="D18:D27">
    <cfRule type="duplicateValues" dxfId="28" priority="30"/>
  </conditionalFormatting>
  <conditionalFormatting sqref="D28:D37">
    <cfRule type="duplicateValues" dxfId="27" priority="31"/>
  </conditionalFormatting>
  <conditionalFormatting sqref="D38">
    <cfRule type="duplicateValues" dxfId="26" priority="32"/>
  </conditionalFormatting>
  <conditionalFormatting sqref="D39">
    <cfRule type="duplicateValues" dxfId="25" priority="33"/>
  </conditionalFormatting>
  <conditionalFormatting sqref="D40:D47">
    <cfRule type="duplicateValues" dxfId="24" priority="34"/>
  </conditionalFormatting>
  <conditionalFormatting sqref="D48">
    <cfRule type="duplicateValues" dxfId="23" priority="35"/>
  </conditionalFormatting>
  <conditionalFormatting sqref="D49:D54">
    <cfRule type="duplicateValues" dxfId="22" priority="36"/>
  </conditionalFormatting>
  <conditionalFormatting sqref="D55">
    <cfRule type="duplicateValues" dxfId="21" priority="37"/>
  </conditionalFormatting>
  <conditionalFormatting sqref="D56:D58">
    <cfRule type="duplicateValues" dxfId="20" priority="38"/>
  </conditionalFormatting>
  <conditionalFormatting sqref="D59:D61">
    <cfRule type="duplicateValues" dxfId="19" priority="25"/>
  </conditionalFormatting>
  <conditionalFormatting sqref="D62:D65">
    <cfRule type="duplicateValues" dxfId="18" priority="26"/>
  </conditionalFormatting>
  <conditionalFormatting sqref="D66:D68 D72:D74 D70">
    <cfRule type="duplicateValues" dxfId="17" priority="20"/>
  </conditionalFormatting>
  <conditionalFormatting sqref="D75 D71 D69">
    <cfRule type="duplicateValues" dxfId="16" priority="45"/>
  </conditionalFormatting>
  <conditionalFormatting sqref="D76">
    <cfRule type="duplicateValues" dxfId="15" priority="15"/>
  </conditionalFormatting>
  <conditionalFormatting sqref="D77">
    <cfRule type="duplicateValues" dxfId="14" priority="16"/>
  </conditionalFormatting>
  <conditionalFormatting sqref="D78">
    <cfRule type="duplicateValues" dxfId="13" priority="19"/>
  </conditionalFormatting>
  <conditionalFormatting sqref="D79">
    <cfRule type="duplicateValues" dxfId="12" priority="18"/>
  </conditionalFormatting>
  <conditionalFormatting sqref="D80">
    <cfRule type="duplicateValues" dxfId="11" priority="17"/>
  </conditionalFormatting>
  <conditionalFormatting sqref="D81">
    <cfRule type="duplicateValues" dxfId="10" priority="14"/>
  </conditionalFormatting>
  <conditionalFormatting sqref="D82">
    <cfRule type="duplicateValues" dxfId="9" priority="12"/>
  </conditionalFormatting>
  <conditionalFormatting sqref="D83">
    <cfRule type="duplicateValues" dxfId="8" priority="13"/>
  </conditionalFormatting>
  <conditionalFormatting sqref="D84">
    <cfRule type="duplicateValues" dxfId="7" priority="11"/>
  </conditionalFormatting>
  <conditionalFormatting sqref="D85">
    <cfRule type="duplicateValues" dxfId="6" priority="9"/>
  </conditionalFormatting>
  <conditionalFormatting sqref="D86">
    <cfRule type="duplicateValues" dxfId="5" priority="10"/>
  </conditionalFormatting>
  <conditionalFormatting sqref="D87">
    <cfRule type="duplicateValues" dxfId="4" priority="8"/>
  </conditionalFormatting>
  <conditionalFormatting sqref="D88:D89">
    <cfRule type="duplicateValues" dxfId="3" priority="7"/>
  </conditionalFormatting>
  <conditionalFormatting sqref="D90">
    <cfRule type="duplicateValues" dxfId="2" priority="4"/>
  </conditionalFormatting>
  <conditionalFormatting sqref="D91">
    <cfRule type="duplicateValues" dxfId="1" priority="5"/>
  </conditionalFormatting>
  <conditionalFormatting sqref="D92">
    <cfRule type="duplicateValues" dxfId="0" priority="6"/>
  </conditionalFormatting>
  <hyperlinks>
    <hyperlink ref="I16" r:id="rId1" xr:uid="{DA64C125-D8E6-464E-B024-D0415CFFB21C}"/>
    <hyperlink ref="I17" r:id="rId2" xr:uid="{5BB46FB7-4024-440D-893C-16CD21427903}"/>
    <hyperlink ref="I18" r:id="rId3" xr:uid="{14207E42-F370-4521-900B-B5A0783E7FD5}"/>
    <hyperlink ref="I19" r:id="rId4" xr:uid="{9CAC2C1A-10FB-49F9-A49A-3A5F9CE306E4}"/>
    <hyperlink ref="I20" r:id="rId5" xr:uid="{4884F22A-09FC-449D-9292-15CA304243DD}"/>
    <hyperlink ref="I21" r:id="rId6" xr:uid="{678AD339-5D35-4B9D-828A-E946CD63E141}"/>
    <hyperlink ref="I22" r:id="rId7" xr:uid="{F8F4C5BF-7413-412C-8171-68923E10CE9C}"/>
    <hyperlink ref="I23" r:id="rId8" xr:uid="{63E86C22-5002-4AF3-B115-C0C04C6FE62F}"/>
    <hyperlink ref="I24" r:id="rId9" xr:uid="{569A1B58-6DA9-4B38-A884-1540ACF15E61}"/>
    <hyperlink ref="I25" r:id="rId10" xr:uid="{E171D2C5-3BE0-4920-9273-6A57135550A3}"/>
    <hyperlink ref="I26" r:id="rId11" xr:uid="{D8FBD602-E334-4E8C-A3E2-BF973222A176}"/>
    <hyperlink ref="I27" r:id="rId12" xr:uid="{6EDC8DD9-F309-4B67-8CEB-438C570C7E7D}"/>
    <hyperlink ref="I28" r:id="rId13" xr:uid="{A1568217-32AE-4E5C-9E60-F079F9D4FAF2}"/>
    <hyperlink ref="I29" r:id="rId14" xr:uid="{56D93E8C-496E-4E86-B057-13F0C8A8AE10}"/>
    <hyperlink ref="I30" r:id="rId15" xr:uid="{72730A98-B62D-47BC-84CA-B052420563DD}"/>
    <hyperlink ref="I31" r:id="rId16" xr:uid="{9D7B1319-249F-4AF3-B1DC-B51F855C2906}"/>
    <hyperlink ref="I32" r:id="rId17" xr:uid="{C857437A-1647-4876-BC29-74FF04133666}"/>
    <hyperlink ref="I33" r:id="rId18" xr:uid="{1FD56015-0AA2-4F5B-B7AF-6ED705DC46E4}"/>
    <hyperlink ref="I34" r:id="rId19" xr:uid="{DE61F6CA-07BB-444F-BCC9-ADA6F2BF302E}"/>
    <hyperlink ref="I35" r:id="rId20" xr:uid="{C7CC0042-4E5D-4A74-8B43-7F3C7C4EFB77}"/>
    <hyperlink ref="I36" r:id="rId21" xr:uid="{9738D8D0-5E51-4A4A-8ACA-B972A20903DA}"/>
    <hyperlink ref="I37" r:id="rId22" xr:uid="{3DEC668C-9165-494C-BDA8-A453DA4B57AF}"/>
    <hyperlink ref="I38" r:id="rId23" xr:uid="{0AAE6894-2050-411B-9A32-9C4194EA478A}"/>
    <hyperlink ref="I39" r:id="rId24" xr:uid="{0911B11A-0C80-4D3A-B5C2-CB65E6AB94FD}"/>
    <hyperlink ref="I42" r:id="rId25" xr:uid="{E626368B-2998-42A7-BE67-8A6A854E7183}"/>
    <hyperlink ref="I43" r:id="rId26" xr:uid="{DCDBC561-D1DB-4668-BC00-2666B54EB836}"/>
    <hyperlink ref="I44" r:id="rId27" xr:uid="{166BA6F6-EC49-44F6-8E3A-CD4CFFB99ACF}"/>
    <hyperlink ref="I41" r:id="rId28" xr:uid="{EAE3D9A0-386E-42C7-A5A6-D04442007B16}"/>
    <hyperlink ref="I40" r:id="rId29" xr:uid="{28FDFB77-00C6-47B6-81DC-7B8B84F31384}"/>
    <hyperlink ref="I45" r:id="rId30" xr:uid="{A88B1B15-0C4B-4BCC-AFE8-88B6FC8B8DBF}"/>
    <hyperlink ref="I46" r:id="rId31" xr:uid="{25C5052C-D081-4628-A436-3FC8AA45F106}"/>
    <hyperlink ref="I47" r:id="rId32" xr:uid="{E5598206-E1BF-4FC6-BE9C-39E3B07F2378}"/>
    <hyperlink ref="I48" r:id="rId33" xr:uid="{8AB721FB-7F8A-4CB0-B02F-05B16AD34B06}"/>
    <hyperlink ref="I49" r:id="rId34" xr:uid="{9F7C0689-C1EA-4D15-B74D-4D9766936146}"/>
    <hyperlink ref="I50" r:id="rId35" xr:uid="{FF223A76-EC88-4EE4-B339-8B9CAF63815B}"/>
    <hyperlink ref="I51" r:id="rId36" xr:uid="{2AA809F1-9A87-4702-89C0-0C2EFC1F713F}"/>
    <hyperlink ref="I52" r:id="rId37" xr:uid="{38A877CF-3F54-48A4-ABE8-979AB4FBB0D3}"/>
    <hyperlink ref="I53" r:id="rId38" xr:uid="{C100EE6C-05D1-4A05-AB2C-0DDAA05A3FE8}"/>
    <hyperlink ref="I54" r:id="rId39" xr:uid="{5C40031D-9B23-440E-921B-34FA6E359221}"/>
    <hyperlink ref="I55" r:id="rId40" xr:uid="{FF6EE815-500F-4419-ABEF-05E8825DD234}"/>
    <hyperlink ref="I56" r:id="rId41" xr:uid="{F1890335-FA0C-4F42-9ABE-6CC11C3BD6A7}"/>
    <hyperlink ref="I57" r:id="rId42" xr:uid="{A04D1DD5-A72D-4B2E-9F0F-0443E4A48A69}"/>
    <hyperlink ref="I58" r:id="rId43" xr:uid="{4A16BE06-448A-4509-9095-9B2ACBBA8514}"/>
    <hyperlink ref="R58" r:id="rId44" xr:uid="{422148C0-C466-4AED-9C80-D590B872EE8D}"/>
    <hyperlink ref="AA58" r:id="rId45" xr:uid="{5DDDD252-FE1E-4B0D-B10C-C6CF52288A71}"/>
    <hyperlink ref="R31" r:id="rId46" xr:uid="{97EB51C0-1772-4FEE-AA85-734095E2DF08}"/>
    <hyperlink ref="AA31" r:id="rId47" xr:uid="{78CDEECD-A8BC-4A36-8A26-51264745419E}"/>
    <hyperlink ref="R33" r:id="rId48" xr:uid="{4BFA7DB6-4ACF-45F7-BFD3-22D8D81FE2D3}"/>
    <hyperlink ref="AA33" r:id="rId49" xr:uid="{21E8388D-52B3-4431-81FE-945649C72B7A}"/>
    <hyperlink ref="R34" r:id="rId50" xr:uid="{72DC2BBA-D5A7-4E69-9D26-1B35C723549C}"/>
    <hyperlink ref="AA34" r:id="rId51" xr:uid="{5EBC6C5E-C12B-475E-8CF9-E7C195B45C43}"/>
    <hyperlink ref="R30" r:id="rId52" xr:uid="{B68BD7BA-59C9-4DD1-9E17-138B04197306}"/>
    <hyperlink ref="AA30" r:id="rId53" xr:uid="{E25DD9C6-5A87-4606-827A-D1D187222037}"/>
    <hyperlink ref="R36" r:id="rId54" xr:uid="{5F73CA97-81FE-4F10-ABF3-2B991B03DEAD}"/>
    <hyperlink ref="AA36" r:id="rId55" xr:uid="{8C43C764-94EF-49EC-9CCE-0881C1CC3BE6}"/>
    <hyperlink ref="R37" r:id="rId56" xr:uid="{BF98DE08-BF91-40D4-BC3E-18E6C64B6931}"/>
    <hyperlink ref="AA37" r:id="rId57" xr:uid="{195B64C3-D471-4E9E-9ACD-21856CC6B832}"/>
    <hyperlink ref="AA38" r:id="rId58" xr:uid="{B866D1CB-F493-4AEC-A576-C759C4594577}"/>
    <hyperlink ref="R38" r:id="rId59" xr:uid="{79A82902-5114-443C-8CB8-C7C67478F7FC}"/>
    <hyperlink ref="R35" r:id="rId60" xr:uid="{FD4F1206-73A4-400A-A571-6B414DD87C2D}"/>
    <hyperlink ref="AA35" r:id="rId61" xr:uid="{EAD354E6-7A35-46DA-AF54-E845A5C59E19}"/>
    <hyperlink ref="R39" r:id="rId62" xr:uid="{A4C5B6CA-4125-41D9-91D1-94555E2888AA}"/>
    <hyperlink ref="AA39" r:id="rId63" xr:uid="{8216CF4B-F0F5-48B3-BF33-CF2B68BF3AE9}"/>
    <hyperlink ref="R32" r:id="rId64" xr:uid="{BCBDE938-56EB-4F34-9FFC-85FAD8F65ADC}"/>
    <hyperlink ref="AA32" r:id="rId65" xr:uid="{31D86069-6B2F-401C-BBF8-6CFB91BC95A6}"/>
    <hyperlink ref="I59" r:id="rId66" xr:uid="{FE285D7F-0845-4093-B87A-7FAFBAE83B3E}"/>
    <hyperlink ref="R60" r:id="rId67" xr:uid="{DB3C4680-E912-4328-847F-087F59A9D774}"/>
    <hyperlink ref="AA59" r:id="rId68" xr:uid="{9757EE90-4C1D-4490-9988-9FD57F2028AB}"/>
    <hyperlink ref="R59" r:id="rId69" xr:uid="{2D56B872-5BF8-4259-AD36-8EDC12B9049E}"/>
    <hyperlink ref="R62" r:id="rId70" xr:uid="{409CBD1C-99B1-457F-9D39-7D722953CAA2}"/>
    <hyperlink ref="AA62" r:id="rId71" xr:uid="{DF84923A-9276-4936-9B58-DDAF376ECDDC}"/>
    <hyperlink ref="I65" r:id="rId72" xr:uid="{8D1A2B7E-1423-4841-978F-75206239F7A1}"/>
    <hyperlink ref="I64" r:id="rId73" xr:uid="{7468420E-888B-4AF3-A6AA-FEE64E88F83B}"/>
    <hyperlink ref="I63" r:id="rId74" xr:uid="{01A7E9BC-DDCC-41D8-AC7C-67B8B25983C3}"/>
    <hyperlink ref="I62" r:id="rId75" xr:uid="{EAB93BD7-6C2E-4F6B-A844-53E4284649F3}"/>
    <hyperlink ref="I61" r:id="rId76" xr:uid="{43E3EB8D-CD28-4865-AA65-D0FDB552808B}"/>
    <hyperlink ref="I60" r:id="rId77" xr:uid="{1BE5C2E1-B3DB-4EC7-B4B6-CE43707336EF}"/>
    <hyperlink ref="R63" r:id="rId78" xr:uid="{00ADAC84-8F8D-4A5F-8872-4637E0196DEB}"/>
    <hyperlink ref="AA63" r:id="rId79" xr:uid="{02D01E48-A8C0-4E53-8811-9ED6B10B51FC}"/>
    <hyperlink ref="R64" r:id="rId80" xr:uid="{BB6DE5F6-9ADC-4AA7-B120-6C2805BAF38F}"/>
    <hyperlink ref="AA64" r:id="rId81" xr:uid="{93689A37-EC50-4538-8FB8-16905CD43324}"/>
    <hyperlink ref="R61" r:id="rId82" xr:uid="{34FCA9FB-7E34-447C-87E1-9A2BA511DD43}"/>
    <hyperlink ref="AA61" r:id="rId83" xr:uid="{6D31567A-75EA-48D6-9E52-8D77875F0A60}"/>
    <hyperlink ref="AA60" r:id="rId84" xr:uid="{1CC77E4D-D5F5-4459-8273-EAA6BF513182}"/>
    <hyperlink ref="R65" r:id="rId85" xr:uid="{A8492613-0C79-44BC-ABD6-24DD023B978D}"/>
    <hyperlink ref="AA65" r:id="rId86" xr:uid="{D74D4AAB-4D07-4C89-B77D-D27EE09B4606}"/>
    <hyperlink ref="I3" r:id="rId87" xr:uid="{2FE35A08-247D-4DAD-ABE3-2DF537ACC7D2}"/>
    <hyperlink ref="I4" r:id="rId88" xr:uid="{031B9C34-033D-45AD-9F8E-CCCAB74757C5}"/>
    <hyperlink ref="I5" r:id="rId89" xr:uid="{650075C4-D06C-4D80-BFF3-4CF5490B21E3}"/>
    <hyperlink ref="I6" r:id="rId90" xr:uid="{BDBA2E5C-47CA-48CE-8D15-1547B29BF9D2}"/>
    <hyperlink ref="I7" r:id="rId91" xr:uid="{5E42795A-C748-498F-A3DD-2373162EBECC}"/>
    <hyperlink ref="I8" r:id="rId92" xr:uid="{D1E4554B-A499-4273-9864-EB8CB01F5F53}"/>
    <hyperlink ref="I9" r:id="rId93" xr:uid="{56A385B5-D4B2-4538-977F-808679828DA7}"/>
    <hyperlink ref="I10" r:id="rId94" xr:uid="{28C646B6-642A-4B75-989F-1DF9FBA16B33}"/>
    <hyperlink ref="I11" r:id="rId95" xr:uid="{77A8AD10-5270-4F08-A813-BC8A78A999CD}"/>
    <hyperlink ref="R4" r:id="rId96" xr:uid="{EB890E91-0B75-408B-88FA-30C6B0CDFF21}"/>
    <hyperlink ref="AA4" r:id="rId97" xr:uid="{BE420EB1-B5AD-402E-BF3A-FEE045D7B534}"/>
    <hyperlink ref="AJ4" r:id="rId98" xr:uid="{1D2D0372-C785-499A-852B-DC5C1CC6CCA5}"/>
    <hyperlink ref="R5" r:id="rId99" xr:uid="{6CC5CF36-67A7-4B20-A543-25031A132970}"/>
    <hyperlink ref="AA5" r:id="rId100" xr:uid="{822574DE-FCB1-41CC-ABE7-5457AF56B52D}"/>
    <hyperlink ref="AJ5" r:id="rId101" xr:uid="{66A16B35-C01C-41E0-A1ED-0C16B9330711}"/>
    <hyperlink ref="R6" r:id="rId102" xr:uid="{936F9F5A-6D96-4558-BB06-FBF540F186F1}"/>
    <hyperlink ref="AA6" r:id="rId103" xr:uid="{354DF42E-05B9-48AD-AB4F-4C973ABE465D}"/>
    <hyperlink ref="AJ6" r:id="rId104" xr:uid="{C92E4686-BD92-4E5A-B287-C3C90F9FED31}"/>
    <hyperlink ref="R7" r:id="rId105" xr:uid="{2BF48EE7-D117-4269-9B6C-DCA0CDA00645}"/>
    <hyperlink ref="AA7" r:id="rId106" xr:uid="{FEEB522D-0341-4BBC-95F6-4B99477B9D4D}"/>
    <hyperlink ref="AJ7" r:id="rId107" xr:uid="{16B1AB37-D933-4170-AE05-9397CE1C4EA2}"/>
    <hyperlink ref="R8" r:id="rId108" xr:uid="{1E010C56-47CF-450C-AA14-78765A6CA52D}"/>
    <hyperlink ref="AA8" r:id="rId109" xr:uid="{30EDCD4E-6163-4156-BCEA-9206F4E0D0DC}"/>
    <hyperlink ref="AJ8" r:id="rId110" xr:uid="{A2B5FFBD-962F-4199-8F59-DBFD34C0C3FA}"/>
    <hyperlink ref="R11" r:id="rId111" xr:uid="{494184FB-A765-4C98-8F87-4B94A7EA70B0}"/>
    <hyperlink ref="AA11" r:id="rId112" xr:uid="{E6978904-EEF7-4B27-957C-B06D459EAC74}"/>
    <hyperlink ref="AJ11" r:id="rId113" xr:uid="{171B9177-37E5-4FE7-87BA-1F2E01EAEFD8}"/>
    <hyperlink ref="I12" r:id="rId114" xr:uid="{2F44E045-95B7-494E-AE4B-BEB9CB6E2922}"/>
    <hyperlink ref="R12" r:id="rId115" xr:uid="{7E90712A-4819-4D66-A765-C691BDB4C242}"/>
    <hyperlink ref="AA12" r:id="rId116" xr:uid="{6E323B74-9ADD-4E66-8F05-E8735532F99F}"/>
    <hyperlink ref="R10" r:id="rId117" xr:uid="{991FE9CE-A07B-4F47-8BF5-FC5CCB8E983C}"/>
    <hyperlink ref="AA10" r:id="rId118" xr:uid="{5C3D8136-8B44-4866-B34C-C827076B6774}"/>
    <hyperlink ref="R3" r:id="rId119" xr:uid="{9FD00BF4-5EF8-44D3-8465-E3E97BE981FB}"/>
    <hyperlink ref="AA3" r:id="rId120" xr:uid="{1DB6DDCB-3F13-453F-B417-0A550902F3CC}"/>
    <hyperlink ref="R9" r:id="rId121" xr:uid="{34288969-9CF2-47F2-8769-DAEA93CE5060}"/>
    <hyperlink ref="AA9" r:id="rId122" xr:uid="{6F90C65E-2B0A-45EE-928C-17A2D47D9CBF}"/>
    <hyperlink ref="I66" r:id="rId123" xr:uid="{7E7C8F0E-F508-4B2A-9E04-ED0BFD4E01BF}"/>
    <hyperlink ref="I67" r:id="rId124" xr:uid="{85496F25-BE94-4103-8D44-290AA9D8B12C}"/>
    <hyperlink ref="I68" r:id="rId125" xr:uid="{BF0D67CA-9B39-46D0-86E9-CCD58FB778C4}"/>
    <hyperlink ref="I70" r:id="rId126" xr:uid="{E0A015ED-1B46-4F68-BE1F-49E0FFB89E33}"/>
    <hyperlink ref="I72" r:id="rId127" xr:uid="{B02C58C1-F0CE-4AF2-9402-BCBDF399FBAA}"/>
    <hyperlink ref="I73" r:id="rId128" xr:uid="{F81D4CA2-2595-42CE-8E37-75F516785743}"/>
    <hyperlink ref="I74" r:id="rId129" xr:uid="{09776E7C-8FA8-4F2E-A39A-F5510FA881FC}"/>
    <hyperlink ref="R72" r:id="rId130" xr:uid="{8744A0BD-B512-4FBE-845D-2E6720908A5C}"/>
    <hyperlink ref="AA72" r:id="rId131" xr:uid="{C49FF86D-4E70-483D-877C-B1916AF5BE90}"/>
    <hyperlink ref="R70" r:id="rId132" xr:uid="{6C998BB8-7EDF-43CB-9488-C2B92C1EA849}"/>
    <hyperlink ref="AA70" r:id="rId133" xr:uid="{7D1EE703-87D5-4A59-957F-C03BF45F4331}"/>
    <hyperlink ref="R67" r:id="rId134" xr:uid="{77260E18-7072-4013-B7CE-A9F64DEBE934}"/>
    <hyperlink ref="AA67" r:id="rId135" xr:uid="{9B8C6219-0918-4288-A4B0-4F49F4A91EEF}"/>
    <hyperlink ref="R68" r:id="rId136" xr:uid="{7E11F704-B06F-4256-A1C7-685EE14592F6}"/>
    <hyperlink ref="AA68" r:id="rId137" xr:uid="{7B9711B2-522A-4F71-996C-F829440C663F}"/>
    <hyperlink ref="I78" r:id="rId138" xr:uid="{07BEEBFA-F4B8-4B4A-B9D6-2BB85BE2572F}"/>
    <hyperlink ref="I79" r:id="rId139" xr:uid="{510B6106-7FE7-44EE-A118-01D5765B5150}"/>
    <hyperlink ref="AA79" r:id="rId140" xr:uid="{88D0CAE5-BB37-404A-B233-EAA76CCE0A93}"/>
    <hyperlink ref="R79" r:id="rId141" xr:uid="{33A2730A-5EFB-408B-8651-144F7A768FA2}"/>
    <hyperlink ref="I80" r:id="rId142" xr:uid="{2281C209-F05D-40DC-9B3C-846A312842A3}"/>
    <hyperlink ref="I77" r:id="rId143" xr:uid="{E7C71D4D-4088-443C-9F06-ADF8C6883124}"/>
    <hyperlink ref="I76" r:id="rId144" xr:uid="{A99ABC0C-3012-4830-94CD-DB488F762799}"/>
    <hyperlink ref="R77" r:id="rId145" xr:uid="{B3B95078-58C2-4E4C-A9B4-8E8994B88A69}"/>
    <hyperlink ref="R76" r:id="rId146" xr:uid="{34966B1A-F9E0-4F90-8608-298435D551B5}"/>
    <hyperlink ref="AA76" r:id="rId147" location="nomodal" xr:uid="{202F6A7C-9C0B-45CE-BBE9-E4CE2D0DE491}"/>
    <hyperlink ref="AA77" r:id="rId148" location="attribute_values=17,11,62,1568,1134,1090,1281,2464,2562,2585" xr:uid="{5060EF3A-9D53-46A1-AD18-A736E3356123}"/>
    <hyperlink ref="I81" r:id="rId149" xr:uid="{E4BABFB6-71D5-4BBF-AF4A-D7ACA9583BCB}"/>
    <hyperlink ref="R82" r:id="rId150" xr:uid="{24686466-3373-4E59-AA9B-CF24CE494B26}"/>
    <hyperlink ref="R83" r:id="rId151" xr:uid="{091A7872-C20D-4BDA-BFC5-8705A9A1F012}"/>
    <hyperlink ref="AA82" r:id="rId152" xr:uid="{8535C39C-3F73-4531-BFE1-5AF9A3E5976F}"/>
    <hyperlink ref="AA83" r:id="rId153" xr:uid="{20A401F0-A314-49D1-B15F-66BFC17507FB}"/>
    <hyperlink ref="I82" r:id="rId154" xr:uid="{CFA3703B-D989-4AE8-B969-6A9EB24DBA6A}"/>
    <hyperlink ref="I83" r:id="rId155" xr:uid="{9EECE280-451E-42F2-AC2F-790E5C1AED02}"/>
    <hyperlink ref="AA84" r:id="rId156" xr:uid="{50F5F8DE-5C43-430D-AD50-0D6139B3E2B8}"/>
    <hyperlink ref="R84" r:id="rId157" xr:uid="{E60B7DCF-F16C-4903-AC34-54BD782641CE}"/>
    <hyperlink ref="I84" r:id="rId158" location="msg=%3Cb%3EGutschein%20konnte%20nicht%20gefunden%20werden%20oder%20ist%20nicht%20mehr%20g%C3%BCltig%3C/b%3E%20(Code:%20%3Ci%3EOFFERC0DE10G0526%3C/i%3E)." xr:uid="{0D018FF5-1ECC-4E30-AC72-268CEB6C3CC0}"/>
    <hyperlink ref="AA86" r:id="rId159" xr:uid="{DC61369D-65BC-4472-ACE0-E06DA4A40D8C}"/>
    <hyperlink ref="I86" r:id="rId160" xr:uid="{359D580D-D0B6-4A10-9078-06A7D9B40ED7}"/>
    <hyperlink ref="I85" r:id="rId161" xr:uid="{8BC53177-8DFC-4A6A-856C-06D8FCBF32A2}"/>
    <hyperlink ref="R85" r:id="rId162" xr:uid="{56EFA416-C0A1-4CCE-885B-8248C141CDC7}"/>
    <hyperlink ref="AA85" r:id="rId163" xr:uid="{ACB34FEF-2B4C-4589-B9B3-2D15E1A323B0}"/>
    <hyperlink ref="I87" r:id="rId164" xr:uid="{5A1ABE48-3860-4894-96DA-4AAD10E1FC77}"/>
    <hyperlink ref="R87" r:id="rId165" xr:uid="{0E93F31B-2A5B-4EB9-A930-61D5E87B295A}"/>
    <hyperlink ref="AA87" r:id="rId166" xr:uid="{3159F7F1-F5D8-4D9E-9963-26A292679B3B}"/>
    <hyperlink ref="AA89" r:id="rId167" xr:uid="{D4592068-2674-4E98-B849-5C6D15DA9860}"/>
    <hyperlink ref="AA88" r:id="rId168" xr:uid="{6D99DB2B-B90F-47EC-AA77-DEA216EFE1B9}"/>
    <hyperlink ref="R88" r:id="rId169" xr:uid="{9412E33E-B26D-4CDD-978D-C08C705E1DF9}"/>
    <hyperlink ref="R89" r:id="rId170" xr:uid="{99E54A59-6F8C-4E54-9662-B202E44FB522}"/>
    <hyperlink ref="I88" r:id="rId171" xr:uid="{B3E4D288-0A66-4607-B0D5-0BA46B7431F1}"/>
    <hyperlink ref="I89" r:id="rId172" xr:uid="{8BB1210A-9F1C-4928-8003-E22E36FEC7B1}"/>
    <hyperlink ref="AA90" r:id="rId173" xr:uid="{BB9FAC62-914D-4F11-BF3C-BEF308192249}"/>
    <hyperlink ref="AA92" r:id="rId174" xr:uid="{0345AEAD-7484-4FC7-A7C6-E21673F3E0C1}"/>
    <hyperlink ref="AA91" r:id="rId175" xr:uid="{CF1FEAB9-B11F-4011-A479-790ECEC31A68}"/>
    <hyperlink ref="R90" r:id="rId176" xr:uid="{1F0D1CF8-41C6-4C87-AEFE-BDC6BF0841C3}"/>
    <hyperlink ref="R91" r:id="rId177" xr:uid="{53393184-565A-4A0C-85EF-DB4B69C7C44C}"/>
    <hyperlink ref="R92" r:id="rId178" xr:uid="{8D6FEB21-3E7E-49D9-A169-700AAA32445B}"/>
    <hyperlink ref="I90" r:id="rId179" xr:uid="{F1FD0D45-6A09-458C-9E48-E9AC4F518B4B}"/>
    <hyperlink ref="I92" r:id="rId180" xr:uid="{7E69FB76-C7C6-4C42-9201-BDE6DD710C45}"/>
    <hyperlink ref="I91" r:id="rId181" xr:uid="{A983999A-0786-438E-828B-1B30A84642B2}"/>
    <hyperlink ref="AA69" r:id="rId182" xr:uid="{8878E9FF-21C5-41A7-962C-9A2B31025C47}"/>
    <hyperlink ref="AA71" r:id="rId183" xr:uid="{15E7CD60-E96B-4B02-988C-46287C9C467C}"/>
    <hyperlink ref="AA75" r:id="rId184" xr:uid="{F336DF04-FEA3-4C75-AF8C-2176F20F3A68}"/>
    <hyperlink ref="R75" r:id="rId185" xr:uid="{0E658CA0-F902-46E1-A7D1-3CFC637F43E9}"/>
    <hyperlink ref="R71" r:id="rId186" xr:uid="{C9CFA889-42A1-4DF2-B8D6-43AD7E61B1BB}"/>
    <hyperlink ref="R69" r:id="rId187" xr:uid="{91A99D61-FD58-411B-BD0C-5C695CDCE517}"/>
    <hyperlink ref="I75" r:id="rId188" location="closemodal" xr:uid="{CAF34B73-46D5-4219-AAFC-8CF4095D32DD}"/>
    <hyperlink ref="I71" r:id="rId189" xr:uid="{31E8522A-03E7-45E0-AD3F-E89D28116B12}"/>
    <hyperlink ref="I69" r:id="rId190" xr:uid="{4A63D86D-BA4D-445A-B604-CD4FFA923437}"/>
    <hyperlink ref="I13" r:id="rId191" xr:uid="{7383EA80-52DC-4DF4-BBDB-4BFF7900E106}"/>
    <hyperlink ref="R13" r:id="rId192" xr:uid="{CA965B4D-75AF-48F4-A2F4-07751607A26E}"/>
    <hyperlink ref="AA13" r:id="rId193" xr:uid="{177D15D7-B6E4-4ABE-B626-3D9D89FB59FE}"/>
    <hyperlink ref="I14" r:id="rId194" xr:uid="{594F6C75-E2A7-4541-8BDB-D5B02C4BCFC4}"/>
    <hyperlink ref="R14" r:id="rId195" xr:uid="{4741BD80-9A69-4ED1-9230-959AA8D478CB}"/>
    <hyperlink ref="AA14" r:id="rId196" xr:uid="{DCE63F89-1CCF-4242-80D8-020966478811}"/>
    <hyperlink ref="I15" r:id="rId197" xr:uid="{3BC6C07E-038C-413E-BB80-2E0D3B148917}"/>
    <hyperlink ref="R15" r:id="rId198" xr:uid="{9898F881-CE7F-4697-80FC-9922A2EA687B}"/>
    <hyperlink ref="AA15" r:id="rId199" xr:uid="{71787600-0E48-432C-874A-AAD4716C5912}"/>
  </hyperlinks>
  <pageMargins left="0.7" right="0.7" top="0.75" bottom="0.75" header="0.3" footer="0.3"/>
  <legacyDrawing r:id="rId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ratikanta mishra</dc:creator>
  <cp:lastModifiedBy>ratikanta mishra</cp:lastModifiedBy>
  <dcterms:created xsi:type="dcterms:W3CDTF">2026-05-19T21:24:00Z</dcterms:created>
  <dcterms:modified xsi:type="dcterms:W3CDTF">2026-05-26T12:21:34Z</dcterms:modified>
</cp:coreProperties>
</file>